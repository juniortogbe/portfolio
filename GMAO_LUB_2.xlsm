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cbook/Documents/"/>
    </mc:Choice>
  </mc:AlternateContent>
  <bookViews>
    <workbookView xWindow="0" yWindow="0" windowWidth="25600" windowHeight="16000" tabRatio="500"/>
  </bookViews>
  <sheets>
    <sheet name="MENU_GMAO" sheetId="11" r:id="rId1"/>
    <sheet name="FORM_LUBRIFICATION" sheetId="12" r:id="rId2"/>
    <sheet name="ALERTES" sheetId="13" r:id="rId3"/>
    <sheet name="EQUIPEMENT" sheetId="2" r:id="rId4"/>
    <sheet name="LUBRIFIANTS" sheetId="3" r:id="rId5"/>
    <sheet name="MOUVEMENTS_STOCK" sheetId="15" r:id="rId6"/>
    <sheet name="PLAN_LUBRIFICATION" sheetId="4" r:id="rId7"/>
    <sheet name="HISTORIQUES" sheetId="6" r:id="rId8"/>
    <sheet name="RAPPORT_STOCK" sheetId="10" r:id="rId9"/>
    <sheet name="FORM_ENTREE_STOCK" sheetId="7" r:id="rId10"/>
    <sheet name="PARAMETRES" sheetId="14" r:id="rId11"/>
  </sheets>
  <definedNames>
    <definedName name="_xlnm._FilterDatabase" localSheetId="5" hidden="1">MOUVEMENTS_STOCK!$A$1:$N$1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2" i="4" l="1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8" i="4"/>
  <c r="F9" i="4"/>
  <c r="A4" i="4"/>
  <c r="C6" i="12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" i="14"/>
  <c r="E4" i="4"/>
  <c r="F4" i="4"/>
  <c r="E5" i="4"/>
  <c r="F5" i="4"/>
  <c r="F6" i="4"/>
  <c r="F7" i="4"/>
  <c r="F10" i="4"/>
  <c r="F11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47" i="4"/>
  <c r="E48" i="4"/>
  <c r="E49" i="4"/>
  <c r="E50" i="4"/>
  <c r="E51" i="4"/>
  <c r="F51" i="4"/>
  <c r="E52" i="4"/>
  <c r="F52" i="4"/>
  <c r="E53" i="4"/>
  <c r="F53" i="4"/>
  <c r="E54" i="4"/>
  <c r="F54" i="4"/>
  <c r="E55" i="4"/>
  <c r="F55" i="4"/>
  <c r="E56" i="4"/>
  <c r="F56" i="4"/>
  <c r="E57" i="4"/>
  <c r="F57" i="4"/>
  <c r="E58" i="4"/>
  <c r="F58" i="4"/>
  <c r="E59" i="4"/>
  <c r="F59" i="4"/>
  <c r="E60" i="4"/>
  <c r="F60" i="4"/>
  <c r="E61" i="4"/>
  <c r="F61" i="4"/>
  <c r="E62" i="4"/>
  <c r="F62" i="4"/>
  <c r="E63" i="4"/>
  <c r="F63" i="4"/>
  <c r="E64" i="4"/>
  <c r="F64" i="4"/>
  <c r="E65" i="4"/>
  <c r="F65" i="4"/>
  <c r="E66" i="4"/>
  <c r="F66" i="4"/>
  <c r="E67" i="4"/>
  <c r="F67" i="4"/>
  <c r="E68" i="4"/>
  <c r="F68" i="4"/>
  <c r="E69" i="4"/>
  <c r="F69" i="4"/>
  <c r="E70" i="4"/>
  <c r="F70" i="4"/>
  <c r="E71" i="4"/>
  <c r="F71" i="4"/>
  <c r="E72" i="4"/>
  <c r="F72" i="4"/>
  <c r="E73" i="4"/>
  <c r="F73" i="4"/>
  <c r="E74" i="4"/>
  <c r="F74" i="4"/>
  <c r="E75" i="4"/>
  <c r="F75" i="4"/>
  <c r="E76" i="4"/>
  <c r="F76" i="4"/>
  <c r="E77" i="4"/>
  <c r="F77" i="4"/>
  <c r="E78" i="4"/>
  <c r="F78" i="4"/>
  <c r="E79" i="4"/>
  <c r="F79" i="4"/>
  <c r="E80" i="4"/>
  <c r="F80" i="4"/>
  <c r="E81" i="4"/>
  <c r="F81" i="4"/>
  <c r="E82" i="4"/>
  <c r="F82" i="4"/>
  <c r="E83" i="4"/>
  <c r="F83" i="4"/>
  <c r="E84" i="4"/>
  <c r="F84" i="4"/>
  <c r="E85" i="4"/>
  <c r="F85" i="4"/>
  <c r="E86" i="4"/>
  <c r="F86" i="4"/>
  <c r="E87" i="4"/>
  <c r="F87" i="4"/>
  <c r="E88" i="4"/>
  <c r="F88" i="4"/>
  <c r="E89" i="4"/>
  <c r="F89" i="4"/>
  <c r="E90" i="4"/>
  <c r="F90" i="4"/>
  <c r="E91" i="4"/>
  <c r="F91" i="4"/>
  <c r="E92" i="4"/>
  <c r="F92" i="4"/>
  <c r="E93" i="4"/>
  <c r="F93" i="4"/>
  <c r="E94" i="4"/>
  <c r="F94" i="4"/>
  <c r="E95" i="4"/>
  <c r="F95" i="4"/>
  <c r="E96" i="4"/>
  <c r="F96" i="4"/>
  <c r="E97" i="4"/>
  <c r="F97" i="4"/>
  <c r="E98" i="4"/>
  <c r="F98" i="4"/>
  <c r="E99" i="4"/>
  <c r="F99" i="4"/>
  <c r="E100" i="4"/>
  <c r="F100" i="4"/>
  <c r="E101" i="4"/>
  <c r="F101" i="4"/>
  <c r="E102" i="4"/>
  <c r="F102" i="4"/>
  <c r="E103" i="4"/>
  <c r="F103" i="4"/>
  <c r="E104" i="4"/>
  <c r="F104" i="4"/>
  <c r="E105" i="4"/>
  <c r="F105" i="4"/>
  <c r="E106" i="4"/>
  <c r="F106" i="4"/>
  <c r="E107" i="4"/>
  <c r="F107" i="4"/>
  <c r="E108" i="4"/>
  <c r="F108" i="4"/>
  <c r="E109" i="4"/>
  <c r="F109" i="4"/>
  <c r="E110" i="4"/>
  <c r="F110" i="4"/>
  <c r="E111" i="4"/>
  <c r="F111" i="4"/>
  <c r="E112" i="4"/>
  <c r="F112" i="4"/>
  <c r="E113" i="4"/>
  <c r="F113" i="4"/>
  <c r="E114" i="4"/>
  <c r="F114" i="4"/>
  <c r="E115" i="4"/>
  <c r="F115" i="4"/>
  <c r="E116" i="4"/>
  <c r="F116" i="4"/>
  <c r="E117" i="4"/>
  <c r="F117" i="4"/>
  <c r="E118" i="4"/>
  <c r="F118" i="4"/>
  <c r="E119" i="4"/>
  <c r="F119" i="4"/>
  <c r="E120" i="4"/>
  <c r="F120" i="4"/>
  <c r="E121" i="4"/>
  <c r="F121" i="4"/>
  <c r="E122" i="4"/>
  <c r="F122" i="4"/>
  <c r="E123" i="4"/>
  <c r="F123" i="4"/>
  <c r="E124" i="4"/>
  <c r="F124" i="4"/>
  <c r="E125" i="4"/>
  <c r="F125" i="4"/>
  <c r="E126" i="4"/>
  <c r="F126" i="4"/>
  <c r="E127" i="4"/>
  <c r="F127" i="4"/>
  <c r="E128" i="4"/>
  <c r="F128" i="4"/>
  <c r="E129" i="4"/>
  <c r="F129" i="4"/>
  <c r="E130" i="4"/>
  <c r="F130" i="4"/>
  <c r="E131" i="4"/>
  <c r="F131" i="4"/>
  <c r="E132" i="4"/>
  <c r="F132" i="4"/>
  <c r="E133" i="4"/>
  <c r="F133" i="4"/>
  <c r="E134" i="4"/>
  <c r="F134" i="4"/>
  <c r="E135" i="4"/>
  <c r="F135" i="4"/>
  <c r="E136" i="4"/>
  <c r="F136" i="4"/>
  <c r="E137" i="4"/>
  <c r="F137" i="4"/>
  <c r="E138" i="4"/>
  <c r="F138" i="4"/>
  <c r="E139" i="4"/>
  <c r="F139" i="4"/>
  <c r="E140" i="4"/>
  <c r="F140" i="4"/>
  <c r="E141" i="4"/>
  <c r="F141" i="4"/>
  <c r="E142" i="4"/>
  <c r="F142" i="4"/>
  <c r="E143" i="4"/>
  <c r="F143" i="4"/>
  <c r="E144" i="4"/>
  <c r="F144" i="4"/>
  <c r="E145" i="4"/>
  <c r="F145" i="4"/>
  <c r="E146" i="4"/>
  <c r="F146" i="4"/>
  <c r="E147" i="4"/>
  <c r="F147" i="4"/>
  <c r="E148" i="4"/>
  <c r="F148" i="4"/>
  <c r="E149" i="4"/>
  <c r="F149" i="4"/>
  <c r="E150" i="4"/>
  <c r="F150" i="4"/>
  <c r="E151" i="4"/>
  <c r="F151" i="4"/>
  <c r="E152" i="4"/>
  <c r="F152" i="4"/>
  <c r="E153" i="4"/>
  <c r="F153" i="4"/>
  <c r="E154" i="4"/>
  <c r="F154" i="4"/>
  <c r="E155" i="4"/>
  <c r="F155" i="4"/>
  <c r="E156" i="4"/>
  <c r="F156" i="4"/>
  <c r="E157" i="4"/>
  <c r="F157" i="4"/>
  <c r="E158" i="4"/>
  <c r="F158" i="4"/>
  <c r="E159" i="4"/>
  <c r="F159" i="4"/>
  <c r="E160" i="4"/>
  <c r="F160" i="4"/>
  <c r="E161" i="4"/>
  <c r="F161" i="4"/>
  <c r="E162" i="4"/>
  <c r="F162" i="4"/>
  <c r="E163" i="4"/>
  <c r="F163" i="4"/>
  <c r="E164" i="4"/>
  <c r="F164" i="4"/>
  <c r="E165" i="4"/>
  <c r="F165" i="4"/>
  <c r="E166" i="4"/>
  <c r="F166" i="4"/>
  <c r="E167" i="4"/>
  <c r="F167" i="4"/>
  <c r="E168" i="4"/>
  <c r="F168" i="4"/>
  <c r="E169" i="4"/>
  <c r="F169" i="4"/>
  <c r="E170" i="4"/>
  <c r="F170" i="4"/>
  <c r="E171" i="4"/>
  <c r="F171" i="4"/>
  <c r="E172" i="4"/>
  <c r="F172" i="4"/>
  <c r="E173" i="4"/>
  <c r="F173" i="4"/>
  <c r="E174" i="4"/>
  <c r="F174" i="4"/>
  <c r="E175" i="4"/>
  <c r="F175" i="4"/>
  <c r="E176" i="4"/>
  <c r="F176" i="4"/>
  <c r="E177" i="4"/>
  <c r="F177" i="4"/>
  <c r="E178" i="4"/>
  <c r="F178" i="4"/>
  <c r="E179" i="4"/>
  <c r="F179" i="4"/>
  <c r="E180" i="4"/>
  <c r="F180" i="4"/>
  <c r="E181" i="4"/>
  <c r="F181" i="4"/>
  <c r="E182" i="4"/>
  <c r="F182" i="4"/>
  <c r="E183" i="4"/>
  <c r="F183" i="4"/>
  <c r="E184" i="4"/>
  <c r="F184" i="4"/>
  <c r="E185" i="4"/>
  <c r="F185" i="4"/>
  <c r="E186" i="4"/>
  <c r="F186" i="4"/>
  <c r="E187" i="4"/>
  <c r="F187" i="4"/>
  <c r="E188" i="4"/>
  <c r="F188" i="4"/>
  <c r="E189" i="4"/>
  <c r="F189" i="4"/>
  <c r="E190" i="4"/>
  <c r="F190" i="4"/>
  <c r="E191" i="4"/>
  <c r="F191" i="4"/>
</calcChain>
</file>

<file path=xl/sharedStrings.xml><?xml version="1.0" encoding="utf-8"?>
<sst xmlns="http://schemas.openxmlformats.org/spreadsheetml/2006/main" count="1127" uniqueCount="388">
  <si>
    <t>TAG NAME</t>
  </si>
  <si>
    <t>TKH01RG01</t>
  </si>
  <si>
    <t>TKH01RG02</t>
  </si>
  <si>
    <t>TKH01RG03</t>
  </si>
  <si>
    <t>TKH01MV06</t>
  </si>
  <si>
    <t>TKH01MV07</t>
  </si>
  <si>
    <t>TKH01MV08</t>
  </si>
  <si>
    <t>TKH01MV09</t>
  </si>
  <si>
    <t>TKH01MV10</t>
  </si>
  <si>
    <t>TKH01MV11</t>
  </si>
  <si>
    <t>TKH01MV12</t>
  </si>
  <si>
    <t>TKH01MV13</t>
  </si>
  <si>
    <t>TKH01MV14</t>
  </si>
  <si>
    <t>TKH01MV15</t>
  </si>
  <si>
    <t>TKH01MV16</t>
  </si>
  <si>
    <t>TKH01MV17</t>
  </si>
  <si>
    <t>TKH01MV18</t>
  </si>
  <si>
    <t>TKH01MV19</t>
  </si>
  <si>
    <t>TKH01MV20</t>
  </si>
  <si>
    <t>TKH01MV21</t>
  </si>
  <si>
    <t>TKH01MV22</t>
  </si>
  <si>
    <t>TKH01MV23</t>
  </si>
  <si>
    <t>TKH01MV24</t>
  </si>
  <si>
    <t>TKH01MV25</t>
  </si>
  <si>
    <t>TKH01MV26</t>
  </si>
  <si>
    <t>TKH01MV27</t>
  </si>
  <si>
    <t>TKH01MV28</t>
  </si>
  <si>
    <t>TKH01BC35</t>
  </si>
  <si>
    <t>TKH01BC40</t>
  </si>
  <si>
    <t>TKH01BC45</t>
  </si>
  <si>
    <t>TKH01RG46</t>
  </si>
  <si>
    <t>TKH01SG65</t>
  </si>
  <si>
    <t>TKH01SG66</t>
  </si>
  <si>
    <t>TKH01BC70</t>
  </si>
  <si>
    <t>TKH01SG75</t>
  </si>
  <si>
    <t>TKH01SG76</t>
  </si>
  <si>
    <t>TKH01WL90</t>
  </si>
  <si>
    <t>TKH01WL91</t>
  </si>
  <si>
    <t>TKH01WL92</t>
  </si>
  <si>
    <t>TKH01WL93</t>
  </si>
  <si>
    <t>TKH01WL94</t>
  </si>
  <si>
    <t>TKH01WL95</t>
  </si>
  <si>
    <t>TKH01BC100</t>
  </si>
  <si>
    <t>TKH01TL115</t>
  </si>
  <si>
    <t>TKH01TL116</t>
  </si>
  <si>
    <t>TKH01MG119</t>
  </si>
  <si>
    <t>DESIGNATION</t>
  </si>
  <si>
    <t>Rod Gate</t>
  </si>
  <si>
    <t xml:space="preserve">Rod Gate </t>
  </si>
  <si>
    <t>Pneumatic sector gate</t>
  </si>
  <si>
    <t xml:space="preserve">Belt Conveyor </t>
  </si>
  <si>
    <t>Pneumatic gate valve</t>
  </si>
  <si>
    <t xml:space="preserve">Pneumatic gate valve </t>
  </si>
  <si>
    <t xml:space="preserve">Train Loading System </t>
  </si>
  <si>
    <t xml:space="preserve"> Manual gate valve</t>
  </si>
  <si>
    <t>FREQUENCIES</t>
  </si>
  <si>
    <t>TMC01AF02</t>
  </si>
  <si>
    <t>TMC01RC05</t>
  </si>
  <si>
    <t>TMC01BC10</t>
  </si>
  <si>
    <t>TMC01BC20</t>
  </si>
  <si>
    <t>TMC01RC25</t>
  </si>
  <si>
    <t>TMH01BC01</t>
  </si>
  <si>
    <t>TMS01BC01</t>
  </si>
  <si>
    <t>TMS01ST10</t>
  </si>
  <si>
    <t>TMC02WO01</t>
  </si>
  <si>
    <t>TMC02HC05</t>
  </si>
  <si>
    <t>TMC02BC10</t>
  </si>
  <si>
    <t>TMC02BF15</t>
  </si>
  <si>
    <t>TMC02AB20</t>
  </si>
  <si>
    <t>TMS02BC01</t>
  </si>
  <si>
    <t>TMS02RE10</t>
  </si>
  <si>
    <t>TMT03BC05</t>
  </si>
  <si>
    <t>TMT03BF10</t>
  </si>
  <si>
    <t>TMT03BC15</t>
  </si>
  <si>
    <t>TMT03BC20</t>
  </si>
  <si>
    <t>TMC01OC30</t>
  </si>
  <si>
    <t>TMC01OC35</t>
  </si>
  <si>
    <t>TMC02MH25</t>
  </si>
  <si>
    <t>Apron feeder</t>
  </si>
  <si>
    <t>Primary Crusher</t>
  </si>
  <si>
    <t>Belt conveyor</t>
  </si>
  <si>
    <t>Reversible belt</t>
  </si>
  <si>
    <t>Secondary Crusher</t>
  </si>
  <si>
    <t>Stacker for Limestone &amp; clay</t>
  </si>
  <si>
    <t>Wobbler Feeder</t>
  </si>
  <si>
    <t>Hammer Crusher</t>
  </si>
  <si>
    <t xml:space="preserve">Bag filter </t>
  </si>
  <si>
    <t>Air Blaster</t>
  </si>
  <si>
    <t xml:space="preserve">Belt conveyor(with tripper) </t>
  </si>
  <si>
    <t>Bridge-type scraping reclaimer</t>
  </si>
  <si>
    <t>Belt Conveyor</t>
  </si>
  <si>
    <t xml:space="preserve">Dust  Collector </t>
  </si>
  <si>
    <t xml:space="preserve">Belt Conveyor (reversible) </t>
  </si>
  <si>
    <t>E.O.T Crane</t>
  </si>
  <si>
    <t xml:space="preserve">Electric  hoist </t>
  </si>
  <si>
    <t>TMS01RE15</t>
  </si>
  <si>
    <t>TMS01RE20</t>
  </si>
  <si>
    <t>TMT01BC10</t>
  </si>
  <si>
    <t>TMT04BC05</t>
  </si>
  <si>
    <t>TMT04BC10</t>
  </si>
  <si>
    <t>TMT05BC05</t>
  </si>
  <si>
    <t>TMT05BW15</t>
  </si>
  <si>
    <t>TMT02BC05</t>
  </si>
  <si>
    <t>TMT02BC15</t>
  </si>
  <si>
    <t>TMT02BC30</t>
  </si>
  <si>
    <t>TMT02BF35</t>
  </si>
  <si>
    <t>TMT02FV40</t>
  </si>
  <si>
    <t>TMT04BF15</t>
  </si>
  <si>
    <t>TMT04BF16</t>
  </si>
  <si>
    <t>TRD01DR01</t>
  </si>
  <si>
    <t>TRD01FV05</t>
  </si>
  <si>
    <t>TRD01BC10</t>
  </si>
  <si>
    <t>TRD01HG20</t>
  </si>
  <si>
    <t>TRH01AF05</t>
  </si>
  <si>
    <t>TRH01AF06</t>
  </si>
  <si>
    <t>TRH01AF07</t>
  </si>
  <si>
    <t>TRH01BW10</t>
  </si>
  <si>
    <t>TRH01BW15</t>
  </si>
  <si>
    <t>TRH01BW20</t>
  </si>
  <si>
    <t>TRH01BW25</t>
  </si>
  <si>
    <t>TRH01BF31</t>
  </si>
  <si>
    <t>TRH01BC35</t>
  </si>
  <si>
    <t>TRH01MS40</t>
  </si>
  <si>
    <t>TRH01DG55</t>
  </si>
  <si>
    <t>TRM01FV01</t>
  </si>
  <si>
    <t>TRM01FV10</t>
  </si>
  <si>
    <t>TRM01BC15</t>
  </si>
  <si>
    <t>TRM01BE20</t>
  </si>
  <si>
    <t>TRM01BF25</t>
  </si>
  <si>
    <t>TRM01BC35</t>
  </si>
  <si>
    <t>TRM01DG45</t>
  </si>
  <si>
    <t>TRM01DG75</t>
  </si>
  <si>
    <t>TRM01RM05</t>
  </si>
  <si>
    <t>TRM01OC65</t>
  </si>
  <si>
    <t>TRM01MH70</t>
  </si>
  <si>
    <t>TRT01BE20</t>
  </si>
  <si>
    <t>TRT01BF35</t>
  </si>
  <si>
    <t>TRT01MH40</t>
  </si>
  <si>
    <t>LIMESTONE RECLAIMER</t>
  </si>
  <si>
    <t>CLAY RECLAIMER</t>
  </si>
  <si>
    <t xml:space="preserve">BELT CONVEYOR UNDER LIMESTONE RECLAIMER </t>
  </si>
  <si>
    <t>CONVOYEUR A BANDE</t>
  </si>
  <si>
    <t>EMERGENCY DOSING BELT</t>
  </si>
  <si>
    <t>EMERGENCY WEIGHT FEEDER</t>
  </si>
  <si>
    <t>FILTRE A MANCHES</t>
  </si>
  <si>
    <t>DOUBLE CLAPET</t>
  </si>
  <si>
    <t>SECHEUR ROTATIF</t>
  </si>
  <si>
    <t>GENERATEUR DE GAZ CHAUD</t>
  </si>
  <si>
    <t>Belt weighing feeder</t>
  </si>
  <si>
    <t>Dedusting bag filter</t>
  </si>
  <si>
    <t>Magnetic Separator</t>
  </si>
  <si>
    <t>Pneumatically Two-Way Valve</t>
    <phoneticPr fontId="0" type="noConversion"/>
  </si>
  <si>
    <t>Three Flap Gate Lock</t>
    <phoneticPr fontId="0" type="noConversion"/>
  </si>
  <si>
    <t>Double pendulum flap gate</t>
  </si>
  <si>
    <t>Belt Conveyor</t>
    <phoneticPr fontId="0" type="noConversion"/>
  </si>
  <si>
    <t>Bucket elevator</t>
  </si>
  <si>
    <t>Pneumatic Two-Way Valve</t>
  </si>
  <si>
    <t>Pneumatic Material Deflector</t>
  </si>
  <si>
    <t>Raw mill</t>
  </si>
  <si>
    <t>Bridge Crane</t>
  </si>
  <si>
    <t xml:space="preserve">Motorized Hoist </t>
  </si>
  <si>
    <t xml:space="preserve"> Motorized Hoist</t>
  </si>
  <si>
    <t>TFH01AF15</t>
  </si>
  <si>
    <t>TFH01AF20</t>
  </si>
  <si>
    <t>TFH01BC25</t>
  </si>
  <si>
    <t>TFS01BC01</t>
  </si>
  <si>
    <t>TFS01ST05</t>
  </si>
  <si>
    <t>TFS01BF10</t>
  </si>
  <si>
    <t>TFT01BC10</t>
  </si>
  <si>
    <t>TFT01MS11</t>
  </si>
  <si>
    <t>TFT01DG20</t>
  </si>
  <si>
    <t>TFT01BC25</t>
  </si>
  <si>
    <t>TFM01WF05</t>
  </si>
  <si>
    <t>TFM01RM10</t>
  </si>
  <si>
    <t>TFM01FN11</t>
  </si>
  <si>
    <t>TFM01FN20</t>
  </si>
  <si>
    <t>TFM01SC25</t>
  </si>
  <si>
    <t>TFM01SC26</t>
  </si>
  <si>
    <t>TFM01SC27</t>
  </si>
  <si>
    <t>TFM01PU35</t>
  </si>
  <si>
    <t>TFM01RB40</t>
  </si>
  <si>
    <t>TFM01RB41</t>
  </si>
  <si>
    <t>TFM01DG45</t>
  </si>
  <si>
    <t>TFM01DG46</t>
  </si>
  <si>
    <t>TFD01BF05</t>
  </si>
  <si>
    <t>TFD01BF10</t>
  </si>
  <si>
    <t>TFD01PS15</t>
  </si>
  <si>
    <t>TFD01PS20</t>
  </si>
  <si>
    <t>TFD01PS35</t>
  </si>
  <si>
    <t>TFD01PS36</t>
  </si>
  <si>
    <t>TFD01BF30</t>
  </si>
  <si>
    <t>TFD01RB40</t>
  </si>
  <si>
    <t>TFD01RB45</t>
  </si>
  <si>
    <t>TFD01RB50</t>
  </si>
  <si>
    <t>TFD01RB51</t>
  </si>
  <si>
    <t>TFD01RB55</t>
  </si>
  <si>
    <t xml:space="preserve">Apron feeder </t>
  </si>
  <si>
    <t xml:space="preserve">Belt conveyor </t>
  </si>
  <si>
    <t>Cantilever stacker</t>
  </si>
  <si>
    <t>Bag Filter</t>
  </si>
  <si>
    <t xml:space="preserve">Iron remover  </t>
  </si>
  <si>
    <t>Two-way Valve</t>
  </si>
  <si>
    <t>Belt Weighing Feeder</t>
  </si>
  <si>
    <t>Coal Mill</t>
  </si>
  <si>
    <t>Fan</t>
  </si>
  <si>
    <t>Filter Fan</t>
  </si>
  <si>
    <t xml:space="preserve">Screw Conveyor </t>
  </si>
  <si>
    <t xml:space="preserve">Pneumatic Conveyor Pump  </t>
  </si>
  <si>
    <t>Roots blower</t>
  </si>
  <si>
    <t xml:space="preserve">Roots blower </t>
  </si>
  <si>
    <t>Pneumatic Two Way Valve</t>
  </si>
  <si>
    <t xml:space="preserve">Proportioning Rotary Scale </t>
  </si>
  <si>
    <t>Proportioning Rotary Scale</t>
  </si>
  <si>
    <r>
      <t xml:space="preserve">Roots blower </t>
    </r>
    <r>
      <rPr>
        <sz val="9"/>
        <rFont val="宋体"/>
        <charset val="134"/>
      </rPr>
      <t/>
    </r>
  </si>
  <si>
    <t>TKF01BF24</t>
  </si>
  <si>
    <t>TKF01RB27</t>
  </si>
  <si>
    <t>TKF01RB28</t>
  </si>
  <si>
    <t>TKF01RB29</t>
  </si>
  <si>
    <t>TKF01BE41</t>
  </si>
  <si>
    <t>TKF01BE42</t>
  </si>
  <si>
    <t>TKF01RF46</t>
  </si>
  <si>
    <t>TKF01RF48</t>
  </si>
  <si>
    <t>TKL01KL01</t>
  </si>
  <si>
    <t>TKL01FN05</t>
  </si>
  <si>
    <t>TKL01FN06</t>
  </si>
  <si>
    <t>TKL01FN20</t>
  </si>
  <si>
    <t>TKE01FN01</t>
  </si>
  <si>
    <t>TKE01FN02</t>
  </si>
  <si>
    <t>TKE01DC36</t>
  </si>
  <si>
    <t>TKE01DC37</t>
  </si>
  <si>
    <t>TKE01DC38</t>
  </si>
  <si>
    <t>TKE01DC40</t>
  </si>
  <si>
    <t>TKE01BE50</t>
  </si>
  <si>
    <t>TKE01HG75</t>
  </si>
  <si>
    <t>TKE03DC05</t>
  </si>
  <si>
    <t>TKE03FV10</t>
  </si>
  <si>
    <t>TKE03DC30</t>
  </si>
  <si>
    <t>TKE03FN45</t>
  </si>
  <si>
    <t>TKE03DC55</t>
  </si>
  <si>
    <t>TKE03DC56</t>
  </si>
  <si>
    <t>TKE03DC60</t>
  </si>
  <si>
    <t>TKE03DC70</t>
  </si>
  <si>
    <t>TKE03DC75</t>
  </si>
  <si>
    <t>TKE03FV76</t>
  </si>
  <si>
    <t>TKC01GC01</t>
  </si>
  <si>
    <t>TKC01FN05</t>
  </si>
  <si>
    <t>TKC01FN06</t>
  </si>
  <si>
    <t>TKC01FN07</t>
  </si>
  <si>
    <t>TKC01FN08</t>
  </si>
  <si>
    <t>TKC01FN09</t>
  </si>
  <si>
    <t>TKC01FN10</t>
  </si>
  <si>
    <t>TKC01FN11</t>
  </si>
  <si>
    <t>TKC01FN12</t>
  </si>
  <si>
    <t>TKC01FN13</t>
  </si>
  <si>
    <t>TKC01FN14</t>
  </si>
  <si>
    <t>TKC01FN15</t>
  </si>
  <si>
    <t>TKT01AC01</t>
  </si>
  <si>
    <t>TKS01BF20</t>
  </si>
  <si>
    <t>Dust  Collector</t>
  </si>
  <si>
    <t xml:space="preserve">Roots blower For Standby </t>
  </si>
  <si>
    <t>Rotary feeder</t>
  </si>
  <si>
    <t xml:space="preserve">Rotary Kiln  </t>
  </si>
  <si>
    <t>cooling fan for Tyre 2</t>
    <phoneticPr fontId="0" type="noConversion"/>
  </si>
  <si>
    <t>cooling fan for Tyre 3</t>
  </si>
  <si>
    <t xml:space="preserve">ID Fan </t>
  </si>
  <si>
    <t>Chain Conveyor</t>
  </si>
  <si>
    <t>Hot gas Generator</t>
  </si>
  <si>
    <t xml:space="preserve">Double Flap valve </t>
  </si>
  <si>
    <t xml:space="preserve">Chain Conveyor </t>
  </si>
  <si>
    <t>Clinker Grate Cooler</t>
  </si>
  <si>
    <t>Cooling Fan</t>
  </si>
  <si>
    <t xml:space="preserve">Cooling Fan </t>
  </si>
  <si>
    <t>Apron conveyor</t>
  </si>
  <si>
    <t>CRUSHING &amp; LINE HARD GRADE</t>
  </si>
  <si>
    <t>MATERIAL PREPARTION RAW MILLING</t>
  </si>
  <si>
    <t>KILN</t>
  </si>
  <si>
    <t>DISPATCH</t>
  </si>
  <si>
    <t>REFERENCE</t>
  </si>
  <si>
    <t>TYPE</t>
  </si>
  <si>
    <t>STOCK MINI</t>
  </si>
  <si>
    <t>ISO VG 220</t>
  </si>
  <si>
    <t>ISO VG 320</t>
  </si>
  <si>
    <t>ISO VG 460</t>
  </si>
  <si>
    <t>ISO VG 680</t>
  </si>
  <si>
    <t>MIN</t>
  </si>
  <si>
    <t>SH</t>
  </si>
  <si>
    <t>GRAISSE</t>
  </si>
  <si>
    <t>EP1</t>
  </si>
  <si>
    <t>EP2</t>
  </si>
  <si>
    <t>DERNIERE LUBRIFICATION</t>
  </si>
  <si>
    <t>PROCHAINE LUBRIFICATION</t>
  </si>
  <si>
    <t>STATUT</t>
  </si>
  <si>
    <t>DATE</t>
  </si>
  <si>
    <t>CODE EQUIPEMENT</t>
  </si>
  <si>
    <t>EQUIPEMENT</t>
  </si>
  <si>
    <t>LUBRIFIANT</t>
  </si>
  <si>
    <t>QUANTITE</t>
  </si>
  <si>
    <t>TECHNICIEN</t>
  </si>
  <si>
    <t>OBSERVATION</t>
  </si>
  <si>
    <t>ATELIER</t>
  </si>
  <si>
    <t>7</t>
  </si>
  <si>
    <t>14</t>
  </si>
  <si>
    <t>30</t>
  </si>
  <si>
    <t>DATE D'ENREGISTREMENT</t>
  </si>
  <si>
    <t>HEURE D'ENREGISTREMENT</t>
  </si>
  <si>
    <t>ISO VG 220 SH</t>
  </si>
  <si>
    <t>EP0</t>
  </si>
  <si>
    <t>EP3</t>
  </si>
  <si>
    <t>FUSH PG 1000</t>
  </si>
  <si>
    <t>FUSH</t>
  </si>
  <si>
    <t>ISO VG 320 MIN</t>
  </si>
  <si>
    <t>ISO VG 460 SH</t>
  </si>
  <si>
    <t>ISO VG 220 MIN</t>
  </si>
  <si>
    <t>ISO VG 460 MIN</t>
  </si>
  <si>
    <t>GRAISSE EP2</t>
  </si>
  <si>
    <t>FLUIDE HYDRO</t>
  </si>
  <si>
    <t>FLUIDE HYDRO 46</t>
  </si>
  <si>
    <t>FLUIDE HYDRO 68</t>
  </si>
  <si>
    <t>HUILE SCHENCK</t>
  </si>
  <si>
    <t>HUILE SCHENCK 224</t>
  </si>
  <si>
    <t>GMAO - GESTION DE LA LUBRIFICATION</t>
  </si>
  <si>
    <t>Bienvenue dans votre système de gestion de la lubrification</t>
  </si>
  <si>
    <t>LUBRIFICATIONS EN RETARD</t>
  </si>
  <si>
    <t>LUBRIFICATIONS À VENIR</t>
  </si>
  <si>
    <t>ENREGISTRER UNE OPÉRATION DE LUBRIFICATION</t>
  </si>
  <si>
    <t>ÉQUIPEMENT</t>
  </si>
  <si>
    <t>DATE DE LUBRIFICATION</t>
  </si>
  <si>
    <t>QUANTITÉ</t>
  </si>
  <si>
    <t>LISTE LUBRIFIANTS</t>
  </si>
  <si>
    <t>STOCK ACTUEL</t>
  </si>
  <si>
    <t>UNITE</t>
  </si>
  <si>
    <t>STOCK AVANT</t>
  </si>
  <si>
    <t>STOCK APRES</t>
  </si>
  <si>
    <t>DATE ENREGISTREMENT</t>
  </si>
  <si>
    <t>HEURE ENREGISTREMENT</t>
  </si>
  <si>
    <t>DATE / STOCK ACTUEL</t>
  </si>
  <si>
    <t>MESSAGE</t>
  </si>
  <si>
    <t>g</t>
  </si>
  <si>
    <t>TOTAL ÉQUIPEMENTS</t>
  </si>
  <si>
    <t>STOCKS ÉPUISÉS</t>
  </si>
  <si>
    <t>STOCKS FAIBLES</t>
  </si>
  <si>
    <t>TOTAL LUBRIFIANTS</t>
  </si>
  <si>
    <t>FORMULAIRE D'ENTRÉE DE STOCK</t>
  </si>
  <si>
    <t>FOURNISSEUR</t>
  </si>
  <si>
    <t>MOTIF / FOURNISSEUR</t>
  </si>
  <si>
    <t>RECHERCHE</t>
  </si>
  <si>
    <t>TOTAL MOUVEMENTS</t>
  </si>
  <si>
    <t>TOTAL ENTRÉES</t>
  </si>
  <si>
    <t>TOTAL SORTIES</t>
  </si>
  <si>
    <t>QUANTITÉ TOTALE ENTRÉE</t>
  </si>
  <si>
    <t>QUANTITÉ TOTALE SORTIE</t>
  </si>
  <si>
    <t>CONSOMMATION PAR LUBRIFIANT</t>
  </si>
  <si>
    <t>QUANTITE CONSOMMEE</t>
  </si>
  <si>
    <t>__ RAPPORT DE STOCK - GMAO LUBRIFICATION</t>
  </si>
  <si>
    <t>GESTION DE LA LUBRIFICATION</t>
  </si>
  <si>
    <t>SYSTÈME DE GESTION DE LA LUBRIFICATION ASSISTÉE PAR ORDINATEUR</t>
  </si>
  <si>
    <t>PLAN DE LUBRIFICATION</t>
  </si>
  <si>
    <t>PROGRAMME DE MAINTENANCE PRÉVENTIVE - LUBRIFICATION DES ÉQUIPEMENTS</t>
  </si>
  <si>
    <t>LUB_01</t>
  </si>
  <si>
    <t>LUB_02</t>
  </si>
  <si>
    <t>LUB_03</t>
  </si>
  <si>
    <t>LUB_04</t>
  </si>
  <si>
    <t>LUB_05</t>
  </si>
  <si>
    <t>LUB_06</t>
  </si>
  <si>
    <t>LUB_07</t>
  </si>
  <si>
    <t>LUB_08</t>
  </si>
  <si>
    <t>LUB_09</t>
  </si>
  <si>
    <t>LUB_10</t>
  </si>
  <si>
    <t>LUB_11</t>
  </si>
  <si>
    <t>LUB_12</t>
  </si>
  <si>
    <t>LUB_13</t>
  </si>
  <si>
    <t>LUB_14</t>
  </si>
  <si>
    <t>LUB_15</t>
  </si>
  <si>
    <t>LUB_16</t>
  </si>
  <si>
    <t>LUB_17</t>
  </si>
  <si>
    <t>LUB_18</t>
  </si>
  <si>
    <t>LUB_19</t>
  </si>
  <si>
    <t>LUB_20</t>
  </si>
  <si>
    <t>LUB_21</t>
  </si>
  <si>
    <t>EGL_0</t>
  </si>
  <si>
    <t>AUTO</t>
  </si>
  <si>
    <t>bt</t>
  </si>
  <si>
    <t>l</t>
  </si>
  <si>
    <t>__ GESTION DES ALERTES</t>
  </si>
  <si>
    <t>SUIVI DES ALERTES DE MAINTENANCE ET DE LUBRIFICATION</t>
  </si>
  <si>
    <t>TAG / RÉFÉRENCE</t>
  </si>
  <si>
    <t>DÉSIGNATION</t>
  </si>
  <si>
    <t>ÉCHÉANCE / STOCK MINI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</si>
</sst>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2"/>
      <color theme="1"/>
      <name val="Calibri"/>
      <family val="2"/>
      <scheme val="minor"/>
    </font>
    <font>
      <sz val="12"/>
      <name val="宋体"/>
      <charset val="134"/>
    </font>
    <font>
      <sz val="9"/>
      <name val="宋体"/>
      <charset val="134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b/>
      <sz val="12"/>
      <color indexed="8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0000"/>
      <name val="-webkit-standard"/>
    </font>
    <font>
      <b/>
      <sz val="14"/>
      <color rgb="FF000000"/>
      <name val="-webkit-standard"/>
    </font>
    <font>
      <b/>
      <sz val="18"/>
      <color rgb="FF000000"/>
      <name val="-webkit-standard"/>
    </font>
    <font>
      <b/>
      <sz val="20"/>
      <color rgb="FF000000"/>
      <name val="-webkit-standard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rgb="FF000000"/>
      <name val="Helvetica"/>
      <family val="2"/>
    </font>
    <font>
      <b/>
      <sz val="18"/>
      <color theme="1"/>
      <name val="Calibri"/>
      <family val="2"/>
      <scheme val="minor"/>
    </font>
    <font>
      <b/>
      <i/>
      <sz val="18"/>
      <color theme="1"/>
      <name val="Arial"/>
      <family val="2"/>
    </font>
    <font>
      <b/>
      <i/>
      <sz val="10"/>
      <color theme="1"/>
      <name val="Arial"/>
      <family val="2"/>
    </font>
    <font>
      <b/>
      <sz val="11"/>
      <color rgb="FF000000"/>
      <name val="Arial"/>
      <family val="2"/>
    </font>
    <font>
      <b/>
      <sz val="18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  <font>
      <b/>
      <sz val="22"/>
      <color theme="1"/>
      <name val="Arial"/>
      <family val="2"/>
    </font>
    <font>
      <b/>
      <i/>
      <sz val="16"/>
      <color theme="1"/>
      <name val="Arial"/>
      <family val="2"/>
    </font>
    <font>
      <b/>
      <u/>
      <sz val="24"/>
      <color theme="1"/>
      <name val="Arial"/>
      <family val="2"/>
    </font>
    <font>
      <b/>
      <i/>
      <u/>
      <sz val="16"/>
      <color theme="1"/>
      <name val="Arial"/>
      <family val="2"/>
    </font>
    <font>
      <sz val="10"/>
      <color theme="1"/>
      <name val="Arial"/>
      <family val="2"/>
    </font>
    <font>
      <b/>
      <sz val="22"/>
      <color rgb="FF000000"/>
      <name val="Arial"/>
      <family val="2"/>
    </font>
    <font>
      <b/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theme="0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4">
    <xf numFmtId="0" fontId="0" fillId="0" borderId="0"/>
    <xf numFmtId="0" fontId="1" fillId="0" borderId="0"/>
    <xf numFmtId="0" fontId="1" fillId="0" borderId="0"/>
    <xf numFmtId="0" fontId="1" fillId="0" borderId="0">
      <alignment vertical="center"/>
    </xf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53">
    <xf numFmtId="0" fontId="0" fillId="0" borderId="0" xfId="0"/>
    <xf numFmtId="0" fontId="3" fillId="0" borderId="0" xfId="0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/>
    </xf>
    <xf numFmtId="0" fontId="3" fillId="0" borderId="2" xfId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0" fontId="7" fillId="0" borderId="0" xfId="0" applyFont="1" applyAlignment="1">
      <alignment horizontal="center" vertical="center" wrapText="1"/>
    </xf>
    <xf numFmtId="0" fontId="4" fillId="2" borderId="2" xfId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2" xfId="1" applyFont="1" applyFill="1" applyBorder="1" applyAlignment="1">
      <alignment horizontal="center" vertical="center" wrapText="1"/>
    </xf>
    <xf numFmtId="0" fontId="5" fillId="2" borderId="2" xfId="2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2" xfId="2" applyFont="1" applyFill="1" applyBorder="1" applyAlignment="1">
      <alignment horizontal="center" vertical="center"/>
    </xf>
    <xf numFmtId="0" fontId="4" fillId="3" borderId="2" xfId="3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/>
    </xf>
    <xf numFmtId="0" fontId="5" fillId="4" borderId="2" xfId="2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4" fillId="4" borderId="2" xfId="3" applyFont="1" applyFill="1" applyBorder="1" applyAlignment="1">
      <alignment horizontal="center" vertical="center" wrapText="1"/>
    </xf>
    <xf numFmtId="0" fontId="4" fillId="4" borderId="2" xfId="2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 wrapText="1"/>
    </xf>
    <xf numFmtId="0" fontId="5" fillId="5" borderId="2" xfId="2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 wrapText="1"/>
    </xf>
    <xf numFmtId="0" fontId="5" fillId="5" borderId="2" xfId="2" applyFont="1" applyFill="1" applyBorder="1" applyAlignment="1">
      <alignment horizontal="center" vertical="center"/>
    </xf>
    <xf numFmtId="0" fontId="4" fillId="5" borderId="2" xfId="3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5" fillId="6" borderId="2" xfId="2" applyFont="1" applyFill="1" applyBorder="1" applyAlignment="1">
      <alignment horizontal="center" vertical="center"/>
    </xf>
    <xf numFmtId="0" fontId="4" fillId="6" borderId="2" xfId="1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4" fillId="6" borderId="2" xfId="3" applyFont="1" applyFill="1" applyBorder="1" applyAlignment="1">
      <alignment horizontal="center" vertical="center" wrapText="1"/>
    </xf>
    <xf numFmtId="49" fontId="4" fillId="6" borderId="2" xfId="1" applyNumberFormat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14" fontId="7" fillId="0" borderId="2" xfId="0" applyNumberFormat="1" applyFont="1" applyBorder="1" applyAlignment="1">
      <alignment horizontal="center" vertical="center" wrapText="1"/>
    </xf>
    <xf numFmtId="20" fontId="7" fillId="0" borderId="2" xfId="0" applyNumberFormat="1" applyFont="1" applyBorder="1" applyAlignment="1">
      <alignment horizontal="center" vertical="center" wrapText="1"/>
    </xf>
    <xf numFmtId="0" fontId="0" fillId="7" borderId="0" xfId="0" applyFill="1"/>
    <xf numFmtId="0" fontId="1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19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0" fontId="16" fillId="7" borderId="0" xfId="0" applyFont="1" applyFill="1" applyAlignment="1">
      <alignment horizontal="center"/>
    </xf>
    <xf numFmtId="0" fontId="0" fillId="7" borderId="0" xfId="0" applyFill="1" applyBorder="1"/>
    <xf numFmtId="0" fontId="13" fillId="7" borderId="2" xfId="0" applyFont="1" applyFill="1" applyBorder="1" applyAlignment="1">
      <alignment wrapText="1"/>
    </xf>
    <xf numFmtId="0" fontId="0" fillId="7" borderId="2" xfId="0" applyFill="1" applyBorder="1" applyAlignment="1">
      <alignment wrapText="1"/>
    </xf>
    <xf numFmtId="14" fontId="0" fillId="7" borderId="2" xfId="0" applyNumberFormat="1" applyFill="1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14" fontId="0" fillId="0" borderId="0" xfId="0" applyNumberFormat="1" applyBorder="1" applyAlignment="1">
      <alignment horizontal="center" wrapText="1"/>
    </xf>
    <xf numFmtId="0" fontId="14" fillId="0" borderId="2" xfId="0" applyFont="1" applyBorder="1" applyAlignment="1">
      <alignment horizontal="center" wrapText="1"/>
    </xf>
    <xf numFmtId="0" fontId="12" fillId="0" borderId="2" xfId="0" applyFont="1" applyBorder="1" applyAlignment="1">
      <alignment horizontal="center" wrapText="1"/>
    </xf>
    <xf numFmtId="0" fontId="17" fillId="0" borderId="2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8" fillId="0" borderId="0" xfId="0" applyFont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vertical="center"/>
    </xf>
    <xf numFmtId="0" fontId="23" fillId="8" borderId="2" xfId="0" applyFont="1" applyFill="1" applyBorder="1" applyAlignment="1">
      <alignment horizontal="center" vertical="center" wrapText="1"/>
    </xf>
    <xf numFmtId="0" fontId="20" fillId="7" borderId="0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 wrapText="1"/>
    </xf>
    <xf numFmtId="0" fontId="20" fillId="7" borderId="3" xfId="0" applyFont="1" applyFill="1" applyBorder="1" applyAlignment="1">
      <alignment horizontal="center" vertical="center" wrapText="1"/>
    </xf>
    <xf numFmtId="0" fontId="20" fillId="7" borderId="3" xfId="0" applyFont="1" applyFill="1" applyBorder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0" fillId="7" borderId="0" xfId="0" applyFill="1" applyBorder="1" applyAlignment="1">
      <alignment vertical="center"/>
    </xf>
    <xf numFmtId="0" fontId="0" fillId="7" borderId="8" xfId="0" applyFill="1" applyBorder="1" applyAlignment="1">
      <alignment vertical="center" wrapText="1"/>
    </xf>
    <xf numFmtId="0" fontId="24" fillId="7" borderId="0" xfId="0" applyFont="1" applyFill="1" applyAlignment="1">
      <alignment horizontal="center" vertical="center"/>
    </xf>
    <xf numFmtId="0" fontId="25" fillId="0" borderId="2" xfId="0" applyFont="1" applyFill="1" applyBorder="1" applyAlignment="1">
      <alignment horizontal="center" vertical="center" wrapText="1"/>
    </xf>
    <xf numFmtId="0" fontId="25" fillId="0" borderId="2" xfId="1" applyFont="1" applyFill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/>
    </xf>
    <xf numFmtId="14" fontId="25" fillId="0" borderId="2" xfId="1" applyNumberFormat="1" applyFont="1" applyFill="1" applyBorder="1" applyAlignment="1">
      <alignment horizontal="center" vertical="center" wrapText="1"/>
    </xf>
    <xf numFmtId="14" fontId="26" fillId="0" borderId="2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25" fillId="0" borderId="2" xfId="1" applyFont="1" applyFill="1" applyBorder="1" applyAlignment="1">
      <alignment horizontal="center" vertical="center"/>
    </xf>
    <xf numFmtId="0" fontId="27" fillId="0" borderId="2" xfId="2" applyFont="1" applyFill="1" applyBorder="1" applyAlignment="1">
      <alignment horizontal="center" vertical="center"/>
    </xf>
    <xf numFmtId="0" fontId="27" fillId="0" borderId="2" xfId="1" applyFont="1" applyFill="1" applyBorder="1" applyAlignment="1">
      <alignment horizontal="center" vertical="center" wrapText="1"/>
    </xf>
    <xf numFmtId="0" fontId="25" fillId="0" borderId="2" xfId="3" applyFont="1" applyFill="1" applyBorder="1" applyAlignment="1">
      <alignment horizontal="center" vertical="center" wrapText="1"/>
    </xf>
    <xf numFmtId="0" fontId="27" fillId="0" borderId="2" xfId="1" applyFont="1" applyFill="1" applyBorder="1" applyAlignment="1">
      <alignment horizontal="center" vertical="center"/>
    </xf>
    <xf numFmtId="0" fontId="25" fillId="0" borderId="2" xfId="2" applyFont="1" applyFill="1" applyBorder="1" applyAlignment="1">
      <alignment horizontal="center" vertical="center"/>
    </xf>
    <xf numFmtId="49" fontId="25" fillId="0" borderId="2" xfId="1" applyNumberFormat="1" applyFont="1" applyFill="1" applyBorder="1" applyAlignment="1">
      <alignment horizontal="center" vertical="center" wrapText="1"/>
    </xf>
    <xf numFmtId="0" fontId="27" fillId="0" borderId="2" xfId="2" applyFont="1" applyFill="1" applyBorder="1" applyAlignment="1">
      <alignment horizontal="center" vertical="center" wrapText="1"/>
    </xf>
    <xf numFmtId="0" fontId="25" fillId="0" borderId="2" xfId="0" applyFont="1" applyFill="1" applyBorder="1" applyAlignment="1">
      <alignment horizontal="left" vertical="center" wrapText="1"/>
    </xf>
    <xf numFmtId="0" fontId="25" fillId="0" borderId="2" xfId="0" applyFont="1" applyFill="1" applyBorder="1" applyAlignment="1">
      <alignment horizontal="left" vertical="center"/>
    </xf>
    <xf numFmtId="0" fontId="25" fillId="0" borderId="2" xfId="1" applyFont="1" applyFill="1" applyBorder="1" applyAlignment="1">
      <alignment horizontal="left" vertical="center" wrapText="1"/>
    </xf>
    <xf numFmtId="0" fontId="25" fillId="0" borderId="2" xfId="3" applyFont="1" applyFill="1" applyBorder="1" applyAlignment="1">
      <alignment horizontal="left" vertical="center" wrapText="1"/>
    </xf>
    <xf numFmtId="0" fontId="27" fillId="0" borderId="2" xfId="1" applyFont="1" applyFill="1" applyBorder="1" applyAlignment="1">
      <alignment horizontal="left" vertical="center"/>
    </xf>
    <xf numFmtId="0" fontId="27" fillId="0" borderId="2" xfId="1" applyFont="1" applyFill="1" applyBorder="1" applyAlignment="1">
      <alignment horizontal="left" vertical="center" wrapText="1"/>
    </xf>
    <xf numFmtId="0" fontId="25" fillId="0" borderId="2" xfId="1" applyFont="1" applyFill="1" applyBorder="1" applyAlignment="1">
      <alignment horizontal="left" vertical="center"/>
    </xf>
    <xf numFmtId="0" fontId="25" fillId="0" borderId="2" xfId="2" applyFont="1" applyFill="1" applyBorder="1" applyAlignment="1">
      <alignment horizontal="left" vertical="center"/>
    </xf>
    <xf numFmtId="49" fontId="25" fillId="0" borderId="2" xfId="1" applyNumberFormat="1" applyFont="1" applyFill="1" applyBorder="1" applyAlignment="1">
      <alignment horizontal="left" vertical="center" wrapText="1"/>
    </xf>
    <xf numFmtId="14" fontId="26" fillId="0" borderId="2" xfId="0" applyNumberFormat="1" applyFont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14" fontId="3" fillId="0" borderId="0" xfId="0" applyNumberFormat="1" applyFont="1" applyBorder="1"/>
    <xf numFmtId="0" fontId="3" fillId="0" borderId="0" xfId="0" applyFont="1" applyBorder="1"/>
    <xf numFmtId="0" fontId="13" fillId="0" borderId="2" xfId="0" applyFont="1" applyBorder="1"/>
    <xf numFmtId="0" fontId="0" fillId="0" borderId="2" xfId="0" applyBorder="1"/>
    <xf numFmtId="0" fontId="32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horizontal="left" vertical="center"/>
    </xf>
    <xf numFmtId="14" fontId="32" fillId="0" borderId="2" xfId="0" applyNumberFormat="1" applyFont="1" applyBorder="1" applyAlignment="1">
      <alignment horizontal="center" vertical="center"/>
    </xf>
    <xf numFmtId="0" fontId="34" fillId="7" borderId="2" xfId="0" applyFont="1" applyFill="1" applyBorder="1" applyAlignment="1">
      <alignment horizontal="center" vertical="center" wrapText="1"/>
    </xf>
    <xf numFmtId="0" fontId="32" fillId="7" borderId="2" xfId="0" applyFont="1" applyFill="1" applyBorder="1" applyAlignment="1">
      <alignment horizontal="center" vertical="center"/>
    </xf>
    <xf numFmtId="0" fontId="32" fillId="7" borderId="2" xfId="0" applyFont="1" applyFill="1" applyBorder="1" applyAlignment="1">
      <alignment horizontal="left" vertical="center"/>
    </xf>
    <xf numFmtId="1" fontId="32" fillId="7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3" fillId="0" borderId="2" xfId="0" applyFont="1" applyBorder="1" applyAlignment="1">
      <alignment horizontal="left"/>
    </xf>
    <xf numFmtId="14" fontId="0" fillId="0" borderId="2" xfId="0" applyNumberFormat="1" applyBorder="1" applyAlignment="1">
      <alignment horizontal="center"/>
    </xf>
    <xf numFmtId="0" fontId="30" fillId="7" borderId="0" xfId="0" applyFont="1" applyFill="1" applyAlignment="1">
      <alignment horizontal="center" vertical="center"/>
    </xf>
    <xf numFmtId="0" fontId="24" fillId="7" borderId="2" xfId="0" applyFont="1" applyFill="1" applyBorder="1" applyAlignment="1">
      <alignment horizontal="center" vertical="center" wrapText="1"/>
    </xf>
    <xf numFmtId="0" fontId="20" fillId="7" borderId="9" xfId="0" applyFont="1" applyFill="1" applyBorder="1" applyAlignment="1">
      <alignment horizontal="center" vertical="center" wrapText="1"/>
    </xf>
    <xf numFmtId="0" fontId="20" fillId="7" borderId="1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vertical="center" wrapText="1"/>
    </xf>
    <xf numFmtId="0" fontId="20" fillId="7" borderId="6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20" fillId="7" borderId="7" xfId="0" applyFont="1" applyFill="1" applyBorder="1" applyAlignment="1">
      <alignment horizontal="center" vertical="center" wrapText="1"/>
    </xf>
    <xf numFmtId="0" fontId="22" fillId="7" borderId="6" xfId="0" applyFont="1" applyFill="1" applyBorder="1" applyAlignment="1">
      <alignment horizontal="center" vertical="center"/>
    </xf>
    <xf numFmtId="0" fontId="22" fillId="7" borderId="8" xfId="0" applyFont="1" applyFill="1" applyBorder="1" applyAlignment="1">
      <alignment horizontal="center" vertical="center"/>
    </xf>
    <xf numFmtId="0" fontId="22" fillId="7" borderId="7" xfId="0" applyFont="1" applyFill="1" applyBorder="1" applyAlignment="1">
      <alignment horizontal="center" vertical="center"/>
    </xf>
    <xf numFmtId="0" fontId="31" fillId="7" borderId="0" xfId="0" applyFont="1" applyFill="1" applyAlignment="1">
      <alignment horizontal="center" vertical="center"/>
    </xf>
    <xf numFmtId="0" fontId="16" fillId="7" borderId="2" xfId="0" applyFont="1" applyFill="1" applyBorder="1" applyAlignment="1">
      <alignment horizont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8" fillId="0" borderId="6" xfId="0" applyFont="1" applyFill="1" applyBorder="1" applyAlignment="1">
      <alignment horizontal="center" vertical="center"/>
    </xf>
    <xf numFmtId="0" fontId="28" fillId="0" borderId="8" xfId="0" applyFont="1" applyFill="1" applyBorder="1" applyAlignment="1">
      <alignment horizontal="center" vertical="center"/>
    </xf>
    <xf numFmtId="0" fontId="28" fillId="0" borderId="7" xfId="0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0" fontId="29" fillId="0" borderId="8" xfId="0" applyFont="1" applyFill="1" applyBorder="1" applyAlignment="1">
      <alignment horizontal="center" vertical="center"/>
    </xf>
    <xf numFmtId="0" fontId="29" fillId="0" borderId="7" xfId="0" applyFont="1" applyFill="1" applyBorder="1" applyAlignment="1">
      <alignment horizontal="center" vertical="center"/>
    </xf>
    <xf numFmtId="0" fontId="15" fillId="0" borderId="0" xfId="0" applyFont="1" applyAlignment="1">
      <alignment horizontal="center" wrapText="1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31" fillId="7" borderId="0" xfId="0" applyFont="1" applyFill="1" applyBorder="1" applyAlignment="1">
      <alignment horizontal="center" vertical="center"/>
    </xf>
    <xf numFmtId="0" fontId="21" fillId="7" borderId="0" xfId="0" applyFont="1" applyFill="1" applyBorder="1" applyAlignment="1">
      <alignment horizontal="center" vertical="center"/>
    </xf>
  </cellXfs>
  <cellStyles count="14">
    <cellStyle name="Lien hypertexte" xfId="4" builtinId="8" hidden="1"/>
    <cellStyle name="Lien hypertexte" xfId="6" builtinId="8" hidden="1"/>
    <cellStyle name="Lien hypertexte" xfId="8" builtinId="8" hidden="1"/>
    <cellStyle name="Lien hypertexte" xfId="10" builtinId="8" hidden="1"/>
    <cellStyle name="Lien hypertexte" xfId="12" builtinId="8" hidden="1"/>
    <cellStyle name="Lien hypertexte visité" xfId="5" builtinId="9" hidden="1"/>
    <cellStyle name="Lien hypertexte visité" xfId="7" builtinId="9" hidden="1"/>
    <cellStyle name="Lien hypertexte visité" xfId="9" builtinId="9" hidden="1"/>
    <cellStyle name="Lien hypertexte visité" xfId="11" builtinId="9" hidden="1"/>
    <cellStyle name="Lien hypertexte visité" xfId="13" builtinId="9" hidden="1"/>
    <cellStyle name="Normal" xfId="0" builtinId="0"/>
    <cellStyle name="Normal 2" xfId="1"/>
    <cellStyle name="常规_Equipment list-200211" xfId="2"/>
    <cellStyle name="常规_Equipment318" xfId="3"/>
  </cellStyles>
  <dxfs count="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</dxfs>
  <tableStyles count="1" defaultTableStyle="TableStyleMedium9" defaultPivotStyle="PivotStyleMedium7">
    <tableStyle name="Style de tableau 1" pivot="0" count="0"/>
  </tableStyles>
  <colors>
    <mruColors>
      <color rgb="FF108227"/>
      <color rgb="FFDA151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12700</xdr:rowOff>
        </xdr:from>
        <xdr:to>
          <xdr:col>0</xdr:col>
          <xdr:colOff>2552700</xdr:colOff>
          <xdr:row>6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🔧 ÉQUIPEMENTS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2755900</xdr:colOff>
          <xdr:row>9</xdr:row>
          <xdr:rowOff>215900</xdr:rowOff>
        </xdr:from>
        <xdr:to>
          <xdr:col>0</xdr:col>
          <xdr:colOff>5207000</xdr:colOff>
          <xdr:row>12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📦 Gestion du stock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50800</xdr:rowOff>
        </xdr:from>
        <xdr:to>
          <xdr:col>0</xdr:col>
          <xdr:colOff>2552700</xdr:colOff>
          <xdr:row>8</xdr:row>
          <xdr:rowOff>431800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📅 PLAN DE LUBRIFICATION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254000</xdr:rowOff>
        </xdr:from>
        <xdr:to>
          <xdr:col>0</xdr:col>
          <xdr:colOff>8115300</xdr:colOff>
          <xdr:row>16</xdr:row>
          <xdr:rowOff>139700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➕ NOUVELLE LUBRIFICATION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5448300</xdr:colOff>
          <xdr:row>7</xdr:row>
          <xdr:rowOff>76200</xdr:rowOff>
        </xdr:from>
        <xdr:to>
          <xdr:col>0</xdr:col>
          <xdr:colOff>8013700</xdr:colOff>
          <xdr:row>9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⚠️ ALERTES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5486400</xdr:colOff>
          <xdr:row>9</xdr:row>
          <xdr:rowOff>190500</xdr:rowOff>
        </xdr:from>
        <xdr:to>
          <xdr:col>0</xdr:col>
          <xdr:colOff>8077200</xdr:colOff>
          <xdr:row>12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📊 TABLEAU DE BORD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2857500</xdr:colOff>
          <xdr:row>5</xdr:row>
          <xdr:rowOff>0</xdr:rowOff>
        </xdr:from>
        <xdr:to>
          <xdr:col>0</xdr:col>
          <xdr:colOff>5194300</xdr:colOff>
          <xdr:row>6</xdr:row>
          <xdr:rowOff>203200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🔄 Mouvements de stock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2768600</xdr:colOff>
          <xdr:row>7</xdr:row>
          <xdr:rowOff>76200</xdr:rowOff>
        </xdr:from>
        <xdr:to>
          <xdr:col>0</xdr:col>
          <xdr:colOff>5156200</xdr:colOff>
          <xdr:row>9</xdr:row>
          <xdr:rowOff>12700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➕ Entrée de stock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5461000</xdr:colOff>
          <xdr:row>4</xdr:row>
          <xdr:rowOff>419100</xdr:rowOff>
        </xdr:from>
        <xdr:to>
          <xdr:col>0</xdr:col>
          <xdr:colOff>7988300</xdr:colOff>
          <xdr:row>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📊 RAPPORT DE STOCK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266700</xdr:rowOff>
        </xdr:from>
        <xdr:to>
          <xdr:col>0</xdr:col>
          <xdr:colOff>2540000</xdr:colOff>
          <xdr:row>12</xdr:row>
          <xdr:rowOff>152400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🔄 ACTUALISER LES DONNÉES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165100</xdr:rowOff>
        </xdr:from>
        <xdr:to>
          <xdr:col>0</xdr:col>
          <xdr:colOff>8128000</xdr:colOff>
          <xdr:row>20</xdr:row>
          <xdr:rowOff>50800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HISTORIQUE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12</xdr:row>
          <xdr:rowOff>190500</xdr:rowOff>
        </xdr:from>
        <xdr:to>
          <xdr:col>2</xdr:col>
          <xdr:colOff>1524000</xdr:colOff>
          <xdr:row>16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ENREGISTRER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190500</xdr:rowOff>
        </xdr:from>
        <xdr:to>
          <xdr:col>6</xdr:col>
          <xdr:colOff>139700</xdr:colOff>
          <xdr:row>4</xdr:row>
          <xdr:rowOff>38100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🏠 ACCUEIL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0</xdr:rowOff>
        </xdr:from>
        <xdr:to>
          <xdr:col>1</xdr:col>
          <xdr:colOff>736600</xdr:colOff>
          <xdr:row>2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🏠 ACCUEIL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787400</xdr:colOff>
          <xdr:row>0</xdr:row>
          <xdr:rowOff>12700</xdr:rowOff>
        </xdr:from>
        <xdr:to>
          <xdr:col>8</xdr:col>
          <xdr:colOff>0</xdr:colOff>
          <xdr:row>1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🏠 ACCUEIL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800100</xdr:colOff>
          <xdr:row>0</xdr:row>
          <xdr:rowOff>0</xdr:rowOff>
        </xdr:from>
        <xdr:to>
          <xdr:col>10</xdr:col>
          <xdr:colOff>0</xdr:colOff>
          <xdr:row>2</xdr:row>
          <xdr:rowOff>228600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🏠 ACCUEIL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190500</xdr:rowOff>
        </xdr:from>
        <xdr:to>
          <xdr:col>16</xdr:col>
          <xdr:colOff>774700</xdr:colOff>
          <xdr:row>10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🔍 RECHERCHER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1333500</xdr:colOff>
          <xdr:row>8</xdr:row>
          <xdr:rowOff>165100</xdr:rowOff>
        </xdr:from>
        <xdr:to>
          <xdr:col>18</xdr:col>
          <xdr:colOff>444500</xdr:colOff>
          <xdr:row>11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🔄 AFFICHER TOUS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812800</xdr:colOff>
          <xdr:row>0</xdr:row>
          <xdr:rowOff>101600</xdr:rowOff>
        </xdr:from>
        <xdr:to>
          <xdr:col>16</xdr:col>
          <xdr:colOff>419100</xdr:colOff>
          <xdr:row>0</xdr:row>
          <xdr:rowOff>647700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🏠 ACCUEIL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25400</xdr:rowOff>
        </xdr:from>
        <xdr:to>
          <xdr:col>8</xdr:col>
          <xdr:colOff>812800</xdr:colOff>
          <xdr:row>2</xdr:row>
          <xdr:rowOff>660400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🏠 ACCUEIL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215900</xdr:rowOff>
        </xdr:from>
        <xdr:to>
          <xdr:col>11</xdr:col>
          <xdr:colOff>355600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ACCEUIL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0</xdr:row>
          <xdr:rowOff>0</xdr:rowOff>
        </xdr:from>
        <xdr:to>
          <xdr:col>2</xdr:col>
          <xdr:colOff>12700</xdr:colOff>
          <xdr:row>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🏠 ACCUEIL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1473200</xdr:colOff>
          <xdr:row>15</xdr:row>
          <xdr:rowOff>114300</xdr:rowOff>
        </xdr:from>
        <xdr:to>
          <xdr:col>3</xdr:col>
          <xdr:colOff>635000</xdr:colOff>
          <xdr:row>19</xdr:row>
          <xdr:rowOff>88900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ENTREE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15</xdr:row>
          <xdr:rowOff>165100</xdr:rowOff>
        </xdr:from>
        <xdr:to>
          <xdr:col>1</xdr:col>
          <xdr:colOff>762000</xdr:colOff>
          <xdr:row>19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🏠 ACCUEIL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4" Type="http://schemas.openxmlformats.org/officeDocument/2006/relationships/ctrlProp" Target="../ctrlProps/ctrlProp1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4" Type="http://schemas.openxmlformats.org/officeDocument/2006/relationships/ctrlProp" Target="../ctrlProps/ctrlProp18.xml"/><Relationship Id="rId5" Type="http://schemas.openxmlformats.org/officeDocument/2006/relationships/ctrlProp" Target="../ctrlProps/ctrlProp19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4" Type="http://schemas.openxmlformats.org/officeDocument/2006/relationships/ctrlProp" Target="../ctrlProps/ctrlProp24.xml"/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 enableFormatConditionsCalculation="0"/>
  <dimension ref="A1:J30"/>
  <sheetViews>
    <sheetView tabSelected="1" zoomScale="90" zoomScaleNormal="90" workbookViewId="0">
      <pane ySplit="4" topLeftCell="A5" activePane="bottomLeft" state="frozenSplit"/>
      <selection pane="bottomLeft" activeCell="E21" sqref="E21"/>
    </sheetView>
  </sheetViews>
  <sheetFormatPr baseColWidth="10" defaultRowHeight="16" x14ac:dyDescent="0.2"/>
  <cols>
    <col min="1" max="1" width="115.83203125" style="46" customWidth="1"/>
    <col min="2" max="2" width="20.83203125" style="46" customWidth="1"/>
    <col min="3" max="3" width="3.83203125" style="46" customWidth="1"/>
    <col min="4" max="4" width="20.83203125" style="46" customWidth="1"/>
    <col min="5" max="5" width="3.83203125" style="46" customWidth="1"/>
    <col min="6" max="6" width="20.83203125" style="46" customWidth="1"/>
    <col min="7" max="7" width="3.83203125" style="46" customWidth="1"/>
    <col min="8" max="9" width="16.83203125" style="46" customWidth="1"/>
    <col min="10" max="10" width="3.83203125" style="46" customWidth="1"/>
    <col min="11" max="16384" width="10.83203125" style="46"/>
  </cols>
  <sheetData>
    <row r="1" spans="1:10" ht="40" customHeight="1" x14ac:dyDescent="0.2">
      <c r="A1" s="117" t="s">
        <v>354</v>
      </c>
      <c r="B1" s="117"/>
      <c r="C1" s="117"/>
      <c r="D1" s="117"/>
      <c r="E1" s="117"/>
      <c r="F1" s="117"/>
      <c r="G1" s="77"/>
      <c r="H1" s="77"/>
      <c r="I1" s="77"/>
      <c r="J1" s="67"/>
    </row>
    <row r="2" spans="1:10" ht="32" customHeight="1" x14ac:dyDescent="0.2">
      <c r="A2" s="128" t="s">
        <v>355</v>
      </c>
      <c r="B2" s="128"/>
      <c r="C2" s="128"/>
      <c r="D2" s="128"/>
      <c r="E2" s="128"/>
      <c r="F2" s="151"/>
      <c r="G2" s="152"/>
      <c r="H2" s="73"/>
      <c r="I2" s="73"/>
      <c r="J2" s="67"/>
    </row>
    <row r="3" spans="1:10" ht="25" hidden="1" customHeight="1" x14ac:dyDescent="0.2">
      <c r="B3" s="125" t="s">
        <v>355</v>
      </c>
      <c r="C3" s="126"/>
      <c r="D3" s="126"/>
      <c r="E3" s="126"/>
      <c r="F3" s="127"/>
      <c r="G3" s="67"/>
      <c r="H3" s="74"/>
      <c r="I3" s="74"/>
      <c r="J3" s="67"/>
    </row>
    <row r="4" spans="1:10" ht="28" customHeight="1" x14ac:dyDescent="0.2">
      <c r="B4" s="68" t="s">
        <v>338</v>
      </c>
      <c r="C4" s="70"/>
      <c r="D4" s="68" t="s">
        <v>322</v>
      </c>
      <c r="E4" s="70"/>
      <c r="F4" s="68" t="s">
        <v>323</v>
      </c>
      <c r="G4" s="67"/>
      <c r="H4" s="74"/>
      <c r="I4" s="74"/>
      <c r="J4" s="67"/>
    </row>
    <row r="5" spans="1:10" ht="35" customHeight="1" x14ac:dyDescent="0.2">
      <c r="B5" s="118">
        <v>190</v>
      </c>
      <c r="C5" s="71"/>
      <c r="D5" s="118">
        <v>0</v>
      </c>
      <c r="E5" s="71"/>
      <c r="F5" s="118">
        <v>0</v>
      </c>
      <c r="G5" s="67"/>
      <c r="H5" s="69"/>
      <c r="I5" s="69"/>
      <c r="J5" s="67"/>
    </row>
    <row r="6" spans="1:10" ht="22" customHeight="1" x14ac:dyDescent="0.2">
      <c r="B6" s="119"/>
      <c r="C6" s="71"/>
      <c r="D6" s="121"/>
      <c r="E6" s="71"/>
      <c r="F6" s="120"/>
      <c r="G6" s="67"/>
      <c r="H6" s="69"/>
      <c r="I6" s="69"/>
      <c r="J6" s="67"/>
    </row>
    <row r="7" spans="1:10" ht="35" customHeight="1" x14ac:dyDescent="0.2">
      <c r="B7" s="76"/>
      <c r="C7" s="76"/>
      <c r="D7" s="76"/>
      <c r="E7" s="76"/>
      <c r="F7" s="76"/>
      <c r="G7" s="67"/>
      <c r="H7" s="75"/>
      <c r="I7" s="75"/>
      <c r="J7" s="67"/>
    </row>
    <row r="8" spans="1:10" ht="28" customHeight="1" x14ac:dyDescent="0.2">
      <c r="B8" s="68" t="s">
        <v>339</v>
      </c>
      <c r="C8" s="70"/>
      <c r="D8" s="68" t="s">
        <v>340</v>
      </c>
      <c r="E8" s="70"/>
      <c r="F8" s="68" t="s">
        <v>341</v>
      </c>
      <c r="G8" s="67"/>
      <c r="H8" s="74"/>
      <c r="I8" s="74"/>
      <c r="J8" s="67"/>
    </row>
    <row r="9" spans="1:10" ht="35" customHeight="1" x14ac:dyDescent="0.2">
      <c r="B9" s="118">
        <v>21</v>
      </c>
      <c r="C9" s="71"/>
      <c r="D9" s="118">
        <v>0</v>
      </c>
      <c r="E9" s="71"/>
      <c r="F9" s="118">
        <v>21</v>
      </c>
      <c r="G9" s="67"/>
      <c r="H9" s="69"/>
      <c r="I9" s="69"/>
      <c r="J9" s="67"/>
    </row>
    <row r="10" spans="1:10" ht="22" customHeight="1" x14ac:dyDescent="0.2">
      <c r="B10" s="122"/>
      <c r="C10" s="72"/>
      <c r="D10" s="123"/>
      <c r="E10" s="72"/>
      <c r="F10" s="124"/>
      <c r="G10" s="67"/>
      <c r="H10" s="69"/>
      <c r="I10" s="69"/>
      <c r="J10" s="67"/>
    </row>
    <row r="11" spans="1:10" ht="22" customHeight="1" x14ac:dyDescent="0.2">
      <c r="B11" s="67"/>
      <c r="C11" s="67"/>
      <c r="D11" s="67"/>
      <c r="E11" s="67"/>
      <c r="F11" s="67"/>
      <c r="G11" s="67"/>
      <c r="H11" s="67"/>
      <c r="I11" s="67"/>
      <c r="J11" s="67"/>
    </row>
    <row r="12" spans="1:10" ht="22" customHeight="1" x14ac:dyDescent="0.2">
      <c r="B12" s="66"/>
      <c r="C12" s="66"/>
      <c r="D12" s="66"/>
      <c r="E12" s="66"/>
      <c r="F12" s="66"/>
      <c r="G12" s="66"/>
      <c r="H12" s="66"/>
      <c r="I12" s="66"/>
      <c r="J12" s="66"/>
    </row>
    <row r="13" spans="1:10" ht="22" customHeight="1" x14ac:dyDescent="0.2">
      <c r="B13" s="66"/>
      <c r="C13" s="66"/>
      <c r="D13" s="66"/>
      <c r="E13" s="66"/>
      <c r="F13" s="66"/>
      <c r="G13" s="66"/>
      <c r="H13" s="66"/>
      <c r="I13" s="66"/>
      <c r="J13" s="66"/>
    </row>
    <row r="14" spans="1:10" ht="22" customHeight="1" x14ac:dyDescent="0.2">
      <c r="B14" s="66"/>
      <c r="C14" s="66"/>
      <c r="D14" s="66"/>
      <c r="E14" s="66"/>
      <c r="F14" s="66"/>
      <c r="G14" s="66"/>
      <c r="H14" s="66"/>
      <c r="I14" s="66"/>
      <c r="J14" s="66"/>
    </row>
    <row r="15" spans="1:10" ht="22" customHeight="1" x14ac:dyDescent="0.2">
      <c r="B15" s="67"/>
      <c r="C15" s="67"/>
      <c r="D15" s="67"/>
      <c r="E15" s="67"/>
      <c r="F15" s="67"/>
      <c r="G15" s="67"/>
      <c r="H15" s="67"/>
      <c r="I15" s="67"/>
      <c r="J15" s="67"/>
    </row>
    <row r="16" spans="1:10" ht="22" customHeight="1" x14ac:dyDescent="0.2">
      <c r="B16" s="66"/>
      <c r="C16" s="66"/>
      <c r="D16" s="66"/>
      <c r="E16" s="66"/>
      <c r="F16" s="66"/>
      <c r="G16" s="66"/>
      <c r="H16" s="66"/>
      <c r="I16" s="66"/>
      <c r="J16" s="66"/>
    </row>
    <row r="17" spans="2:10" ht="22" customHeight="1" x14ac:dyDescent="0.2">
      <c r="B17" s="66"/>
      <c r="C17" s="66"/>
      <c r="D17" s="66"/>
      <c r="E17" s="66"/>
      <c r="F17" s="66"/>
      <c r="G17" s="66"/>
      <c r="H17" s="66"/>
      <c r="I17" s="66"/>
      <c r="J17" s="66"/>
    </row>
    <row r="18" spans="2:10" ht="22" customHeight="1" x14ac:dyDescent="0.2">
      <c r="B18" s="66"/>
      <c r="C18" s="66"/>
      <c r="D18" s="66"/>
      <c r="E18" s="66"/>
      <c r="F18" s="66"/>
      <c r="G18" s="66"/>
      <c r="H18" s="66"/>
      <c r="I18" s="66"/>
      <c r="J18" s="66"/>
    </row>
    <row r="19" spans="2:10" ht="22" customHeight="1" x14ac:dyDescent="0.2">
      <c r="B19" s="67"/>
      <c r="C19" s="67"/>
      <c r="D19" s="67"/>
      <c r="E19" s="67"/>
      <c r="F19" s="67"/>
      <c r="G19" s="67"/>
      <c r="H19" s="67"/>
      <c r="I19" s="67"/>
      <c r="J19" s="67"/>
    </row>
    <row r="20" spans="2:10" ht="22" customHeight="1" x14ac:dyDescent="0.2">
      <c r="B20" s="67"/>
      <c r="C20" s="67"/>
      <c r="D20" s="67"/>
      <c r="E20" s="67"/>
      <c r="F20" s="67"/>
      <c r="G20" s="67"/>
      <c r="H20" s="67"/>
      <c r="I20" s="67"/>
      <c r="J20" s="67"/>
    </row>
    <row r="21" spans="2:10" ht="22" customHeight="1" x14ac:dyDescent="0.2">
      <c r="B21" s="66"/>
      <c r="C21" s="66"/>
      <c r="D21" s="66"/>
      <c r="E21" s="66"/>
      <c r="F21" s="66"/>
      <c r="G21" s="66"/>
      <c r="H21" s="66"/>
      <c r="I21" s="66"/>
      <c r="J21" s="66"/>
    </row>
    <row r="22" spans="2:10" ht="22" customHeight="1" x14ac:dyDescent="0.2">
      <c r="B22" s="66"/>
      <c r="C22" s="66"/>
      <c r="D22" s="66"/>
      <c r="E22" s="66"/>
      <c r="F22" s="66"/>
      <c r="G22" s="66"/>
      <c r="H22" s="66"/>
      <c r="I22" s="66"/>
      <c r="J22" s="66"/>
    </row>
    <row r="23" spans="2:10" ht="22" customHeight="1" x14ac:dyDescent="0.2">
      <c r="B23" s="66"/>
      <c r="C23" s="66"/>
      <c r="D23" s="66"/>
      <c r="E23" s="66"/>
      <c r="F23" s="66"/>
      <c r="G23" s="66"/>
      <c r="H23" s="66"/>
      <c r="I23" s="66"/>
      <c r="J23" s="66"/>
    </row>
    <row r="24" spans="2:10" ht="22" customHeight="1" x14ac:dyDescent="0.2">
      <c r="B24" s="67"/>
      <c r="C24" s="67"/>
      <c r="D24" s="67"/>
      <c r="E24" s="67"/>
      <c r="F24" s="67"/>
      <c r="G24" s="67"/>
      <c r="H24" s="67"/>
      <c r="I24" s="67"/>
      <c r="J24" s="67"/>
    </row>
    <row r="25" spans="2:10" ht="22" customHeight="1" x14ac:dyDescent="0.2">
      <c r="B25" s="67"/>
      <c r="C25" s="67"/>
      <c r="D25" s="67"/>
      <c r="E25" s="67"/>
      <c r="F25" s="67"/>
      <c r="G25" s="67"/>
      <c r="H25" s="67"/>
      <c r="I25" s="67"/>
      <c r="J25" s="67"/>
    </row>
    <row r="26" spans="2:10" ht="22" customHeight="1" x14ac:dyDescent="0.2">
      <c r="B26" s="67"/>
      <c r="C26" s="67"/>
      <c r="D26" s="67"/>
      <c r="E26" s="66"/>
      <c r="F26" s="66"/>
      <c r="G26" s="66"/>
      <c r="H26" s="67"/>
      <c r="I26" s="67"/>
      <c r="J26" s="67"/>
    </row>
    <row r="27" spans="2:10" ht="22" customHeight="1" x14ac:dyDescent="0.2">
      <c r="B27" s="67"/>
      <c r="C27" s="67"/>
      <c r="D27" s="67"/>
      <c r="E27" s="66"/>
      <c r="F27" s="66"/>
      <c r="G27" s="66"/>
      <c r="H27" s="67"/>
      <c r="I27" s="67"/>
      <c r="J27" s="67"/>
    </row>
    <row r="28" spans="2:10" ht="22" customHeight="1" x14ac:dyDescent="0.2">
      <c r="B28" s="67"/>
      <c r="C28" s="67"/>
      <c r="D28" s="67"/>
      <c r="E28" s="66"/>
      <c r="F28" s="66"/>
      <c r="G28" s="66"/>
      <c r="H28" s="67"/>
      <c r="I28" s="67"/>
      <c r="J28" s="67"/>
    </row>
    <row r="29" spans="2:10" ht="22" customHeight="1" x14ac:dyDescent="0.2"/>
    <row r="30" spans="2:10" ht="22" customHeight="1" x14ac:dyDescent="0.2"/>
  </sheetData>
  <mergeCells count="9">
    <mergeCell ref="A1:F1"/>
    <mergeCell ref="B5:B6"/>
    <mergeCell ref="F5:F6"/>
    <mergeCell ref="D5:D6"/>
    <mergeCell ref="B9:B10"/>
    <mergeCell ref="D9:D10"/>
    <mergeCell ref="F9:F10"/>
    <mergeCell ref="B3:F3"/>
    <mergeCell ref="A2:F2"/>
  </mergeCells>
  <conditionalFormatting sqref="J4 D5:D6">
    <cfRule type="cellIs" dxfId="6" priority="5" operator="greaterThan">
      <formula>0</formula>
    </cfRule>
  </conditionalFormatting>
  <conditionalFormatting sqref="F5:F6">
    <cfRule type="cellIs" dxfId="5" priority="4" operator="greaterThan">
      <formula>0</formula>
    </cfRule>
  </conditionalFormatting>
  <conditionalFormatting sqref="D9:D10">
    <cfRule type="cellIs" dxfId="4" priority="2" operator="greaterThan">
      <formula>0</formula>
    </cfRule>
  </conditionalFormatting>
  <conditionalFormatting sqref="B9:B10">
    <cfRule type="cellIs" dxfId="3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OuvrirEquipements">
                <anchor moveWithCells="1" sizeWithCells="1">
                  <from>
                    <xdr:col>0</xdr:col>
                    <xdr:colOff>0</xdr:colOff>
                    <xdr:row>5</xdr:row>
                    <xdr:rowOff>12700</xdr:rowOff>
                  </from>
                  <to>
                    <xdr:col>0</xdr:col>
                    <xdr:colOff>2552700</xdr:colOff>
                    <xdr:row>6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Button 2">
              <controlPr defaultSize="0" autoFill="0" autoPict="0" macro="[0]!OuvrirLubrifiants">
                <anchor moveWithCells="1" sizeWithCells="1">
                  <from>
                    <xdr:col>0</xdr:col>
                    <xdr:colOff>2755900</xdr:colOff>
                    <xdr:row>9</xdr:row>
                    <xdr:rowOff>215900</xdr:rowOff>
                  </from>
                  <to>
                    <xdr:col>0</xdr:col>
                    <xdr:colOff>5207000</xdr:colOff>
                    <xdr:row>12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OuvrirPlanLubrification">
                <anchor moveWithCells="1" sizeWithCells="1">
                  <from>
                    <xdr:col>0</xdr:col>
                    <xdr:colOff>0</xdr:colOff>
                    <xdr:row>7</xdr:row>
                    <xdr:rowOff>50800</xdr:rowOff>
                  </from>
                  <to>
                    <xdr:col>0</xdr:col>
                    <xdr:colOff>2552700</xdr:colOff>
                    <xdr:row>8</xdr:row>
                    <xdr:rowOff>431800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6" r:id="rId6" name="Button 4">
              <controlPr defaultSize="0" autoFill="0" autoPict="0" macro="[0]!OuvrirFormLubrification">
                <anchor moveWithCells="1" sizeWithCells="1">
                  <from>
                    <xdr:col>0</xdr:col>
                    <xdr:colOff>0</xdr:colOff>
                    <xdr:row>13</xdr:row>
                    <xdr:rowOff>254000</xdr:rowOff>
                  </from>
                  <to>
                    <xdr:col>0</xdr:col>
                    <xdr:colOff>8115300</xdr:colOff>
                    <xdr:row>16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7" r:id="rId7" name="Button 5">
              <controlPr defaultSize="0" autoFill="0" autoPict="0" macro="[0]!OuvrirAlertes">
                <anchor moveWithCells="1" sizeWithCells="1">
                  <from>
                    <xdr:col>0</xdr:col>
                    <xdr:colOff>5448300</xdr:colOff>
                    <xdr:row>7</xdr:row>
                    <xdr:rowOff>76200</xdr:rowOff>
                  </from>
                  <to>
                    <xdr:col>0</xdr:col>
                    <xdr:colOff>8013700</xdr:colOff>
                    <xdr:row>9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ActualiserTableauDeBord">
                <anchor moveWithCells="1" sizeWithCells="1">
                  <from>
                    <xdr:col>0</xdr:col>
                    <xdr:colOff>5486400</xdr:colOff>
                    <xdr:row>9</xdr:row>
                    <xdr:rowOff>190500</xdr:rowOff>
                  </from>
                  <to>
                    <xdr:col>0</xdr:col>
                    <xdr:colOff>8077200</xdr:colOff>
                    <xdr:row>12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OuvrirMouvementsStock">
                <anchor moveWithCells="1" sizeWithCells="1">
                  <from>
                    <xdr:col>0</xdr:col>
                    <xdr:colOff>2857500</xdr:colOff>
                    <xdr:row>5</xdr:row>
                    <xdr:rowOff>0</xdr:rowOff>
                  </from>
                  <to>
                    <xdr:col>0</xdr:col>
                    <xdr:colOff>5194300</xdr:colOff>
                    <xdr:row>6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0" r:id="rId10" name="Button 8">
              <controlPr defaultSize="0" autoFill="0" autoPict="0" macro="[0]!OuvrirEntreeStock">
                <anchor moveWithCells="1" sizeWithCells="1">
                  <from>
                    <xdr:col>0</xdr:col>
                    <xdr:colOff>2768600</xdr:colOff>
                    <xdr:row>7</xdr:row>
                    <xdr:rowOff>76200</xdr:rowOff>
                  </from>
                  <to>
                    <xdr:col>0</xdr:col>
                    <xdr:colOff>5156200</xdr:colOff>
                    <xdr:row>9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1" r:id="rId11" name="Button 9">
              <controlPr defaultSize="0" autoFill="0" autoPict="0" macro="[0]!OuvrirRapportStock">
                <anchor moveWithCells="1" sizeWithCells="1">
                  <from>
                    <xdr:col>0</xdr:col>
                    <xdr:colOff>5461000</xdr:colOff>
                    <xdr:row>4</xdr:row>
                    <xdr:rowOff>419100</xdr:rowOff>
                  </from>
                  <to>
                    <xdr:col>0</xdr:col>
                    <xdr:colOff>7988300</xdr:colOff>
                    <xdr:row>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2" r:id="rId12" name="Button 10">
              <controlPr defaultSize="0" autoFill="0" autoPict="0" macro="[0]!ActualiserDonneesGMAO">
                <anchor moveWithCells="1" sizeWithCells="1">
                  <from>
                    <xdr:col>0</xdr:col>
                    <xdr:colOff>0</xdr:colOff>
                    <xdr:row>9</xdr:row>
                    <xdr:rowOff>266700</xdr:rowOff>
                  </from>
                  <to>
                    <xdr:col>0</xdr:col>
                    <xdr:colOff>2540000</xdr:colOff>
                    <xdr:row>12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6" r:id="rId13" name="Button 14">
              <controlPr defaultSize="0" autoFill="0" autoPict="0" macro="[0]!OuvrirHISTORIQUE">
                <anchor moveWithCells="1" sizeWithCells="1">
                  <from>
                    <xdr:col>0</xdr:col>
                    <xdr:colOff>0</xdr:colOff>
                    <xdr:row>17</xdr:row>
                    <xdr:rowOff>165100</xdr:rowOff>
                  </from>
                  <to>
                    <xdr:col>0</xdr:col>
                    <xdr:colOff>8128000</xdr:colOff>
                    <xdr:row>20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0" enableFormatConditionsCalculation="0"/>
  <dimension ref="B2:F12"/>
  <sheetViews>
    <sheetView workbookViewId="0">
      <selection activeCell="C5" sqref="C5"/>
    </sheetView>
  </sheetViews>
  <sheetFormatPr baseColWidth="10" defaultRowHeight="16" x14ac:dyDescent="0.2"/>
  <cols>
    <col min="1" max="1" width="10.83203125" style="46"/>
    <col min="2" max="2" width="56.5" style="46" customWidth="1"/>
    <col min="3" max="3" width="39.5" style="46" customWidth="1"/>
    <col min="4" max="4" width="15.83203125" style="46" customWidth="1"/>
    <col min="5" max="5" width="16.1640625" style="46" customWidth="1"/>
    <col min="6" max="6" width="17.83203125" style="46" customWidth="1"/>
    <col min="7" max="16384" width="10.83203125" style="46"/>
  </cols>
  <sheetData>
    <row r="2" spans="2:6" ht="25" x14ac:dyDescent="0.25">
      <c r="B2" s="129" t="s">
        <v>324</v>
      </c>
      <c r="C2" s="129"/>
      <c r="D2" s="52"/>
      <c r="E2" s="52"/>
      <c r="F2" s="52"/>
    </row>
    <row r="3" spans="2:6" x14ac:dyDescent="0.2">
      <c r="B3" s="129"/>
      <c r="C3" s="129"/>
    </row>
    <row r="4" spans="2:6" x14ac:dyDescent="0.2">
      <c r="B4" s="55"/>
      <c r="C4" s="55"/>
    </row>
    <row r="5" spans="2:6" ht="18" x14ac:dyDescent="0.2">
      <c r="B5" s="54" t="s">
        <v>0</v>
      </c>
      <c r="C5" s="55"/>
    </row>
    <row r="6" spans="2:6" ht="18" x14ac:dyDescent="0.2">
      <c r="B6" s="54" t="s">
        <v>325</v>
      </c>
      <c r="C6" s="55" t="str">
        <f>IF(C5="","",IFERROR(VLOOKUP(C5,PLAN_LUBRIFICATION!$A:$B,2,FALSE),"TAG NON TROUVÉ"))</f>
        <v/>
      </c>
    </row>
    <row r="7" spans="2:6" ht="18" x14ac:dyDescent="0.2">
      <c r="B7" s="54" t="s">
        <v>326</v>
      </c>
      <c r="C7" s="56">
        <v>46233</v>
      </c>
    </row>
    <row r="8" spans="2:6" ht="18" x14ac:dyDescent="0.2">
      <c r="B8" s="54" t="s">
        <v>295</v>
      </c>
      <c r="C8" s="55"/>
    </row>
    <row r="9" spans="2:6" ht="18" x14ac:dyDescent="0.2">
      <c r="B9" s="54" t="s">
        <v>327</v>
      </c>
      <c r="C9" s="55"/>
    </row>
    <row r="10" spans="2:6" ht="18" x14ac:dyDescent="0.2">
      <c r="B10" s="54" t="s">
        <v>297</v>
      </c>
      <c r="C10" s="55"/>
    </row>
    <row r="11" spans="2:6" ht="18" x14ac:dyDescent="0.2">
      <c r="B11" s="54" t="s">
        <v>298</v>
      </c>
      <c r="C11" s="55"/>
    </row>
    <row r="12" spans="2:6" x14ac:dyDescent="0.2">
      <c r="B12" s="55" t="s">
        <v>330</v>
      </c>
      <c r="C12" s="55" t="s">
        <v>337</v>
      </c>
    </row>
  </sheetData>
  <mergeCells count="1">
    <mergeCell ref="B2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autoFill="0" autoPict="0" macro="[0]!EnregistrerLubrification">
                <anchor moveWithCells="1" sizeWithCells="1">
                  <from>
                    <xdr:col>1</xdr:col>
                    <xdr:colOff>1866900</xdr:colOff>
                    <xdr:row>12</xdr:row>
                    <xdr:rowOff>190500</xdr:rowOff>
                  </from>
                  <to>
                    <xdr:col>2</xdr:col>
                    <xdr:colOff>1524000</xdr:colOff>
                    <xdr:row>16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7" r:id="rId4" name="Button 11">
              <controlPr defaultSize="0" autoFill="0" autoPict="0" macro="[0]!OuvrirMenuGMAO">
                <anchor moveWithCells="1" sizeWithCells="1">
                  <from>
                    <xdr:col>5</xdr:col>
                    <xdr:colOff>0</xdr:colOff>
                    <xdr:row>1</xdr:row>
                    <xdr:rowOff>190500</xdr:rowOff>
                  </from>
                  <to>
                    <xdr:col>6</xdr:col>
                    <xdr:colOff>139700</xdr:colOff>
                    <xdr:row>4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PLAN_LUBRIFICATION!$A$4:$A$1002</xm:f>
          </x14:formula1>
          <xm:sqref>C5</xm:sqref>
        </x14:dataValidation>
        <x14:dataValidation type="list" allowBlank="1" showInputMessage="1" showErrorMessage="1">
          <x14:formula1>
            <xm:f>PARAMETRES!$C$2:$C$1000</xm:f>
          </x14:formula1>
          <xm:sqref>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1" enableFormatConditionsCalculation="0"/>
  <dimension ref="A1:F5"/>
  <sheetViews>
    <sheetView showGridLines="0" zoomScale="90" zoomScaleNormal="90" workbookViewId="0">
      <pane ySplit="2" topLeftCell="A3" activePane="bottomLeft" state="frozenSplit"/>
      <selection pane="bottomLeft" activeCell="F22" sqref="F22"/>
    </sheetView>
  </sheetViews>
  <sheetFormatPr baseColWidth="10" defaultRowHeight="16" x14ac:dyDescent="0.2"/>
  <cols>
    <col min="1" max="1" width="18.83203125" customWidth="1"/>
    <col min="2" max="2" width="22.83203125" customWidth="1"/>
    <col min="3" max="3" width="30.83203125" customWidth="1"/>
    <col min="4" max="5" width="22.83203125" style="43" customWidth="1"/>
    <col min="6" max="6" width="45.83203125" customWidth="1"/>
    <col min="7" max="7" width="5.83203125" customWidth="1"/>
  </cols>
  <sheetData>
    <row r="1" spans="1:6" s="51" customFormat="1" ht="35" customHeight="1" x14ac:dyDescent="0.2">
      <c r="A1" s="130" t="s">
        <v>383</v>
      </c>
      <c r="B1" s="131"/>
      <c r="C1" s="131"/>
      <c r="D1" s="131"/>
      <c r="E1" s="131"/>
      <c r="F1" s="132"/>
    </row>
    <row r="2" spans="1:6" ht="25" customHeight="1" x14ac:dyDescent="0.2">
      <c r="A2" s="133" t="s">
        <v>384</v>
      </c>
      <c r="B2" s="134"/>
      <c r="C2" s="134"/>
      <c r="D2" s="134"/>
      <c r="E2" s="134"/>
      <c r="F2" s="135"/>
    </row>
    <row r="4" spans="1:6" ht="40" customHeight="1" x14ac:dyDescent="0.2">
      <c r="A4" s="83" t="s">
        <v>278</v>
      </c>
      <c r="B4" s="83" t="s">
        <v>385</v>
      </c>
      <c r="C4" s="83" t="s">
        <v>386</v>
      </c>
      <c r="D4" s="82" t="s">
        <v>335</v>
      </c>
      <c r="E4" s="82" t="s">
        <v>387</v>
      </c>
      <c r="F4" s="83" t="s">
        <v>336</v>
      </c>
    </row>
    <row r="5" spans="1:6" ht="25" customHeight="1" x14ac:dyDescent="0.2">
      <c r="A5" s="107"/>
      <c r="B5" s="107"/>
      <c r="C5" s="108"/>
      <c r="D5" s="109"/>
      <c r="E5" s="109"/>
      <c r="F5" s="108"/>
    </row>
  </sheetData>
  <mergeCells count="2">
    <mergeCell ref="A1:F1"/>
    <mergeCell ref="A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OuvrirMenuGMAO">
                <anchor moveWithCells="1" sizeWithCells="1">
                  <from>
                    <xdr:col>0</xdr:col>
                    <xdr:colOff>25400</xdr:colOff>
                    <xdr:row>0</xdr:row>
                    <xdr:rowOff>0</xdr:rowOff>
                  </from>
                  <to>
                    <xdr:col>1</xdr:col>
                    <xdr:colOff>736600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4" enableFormatConditionsCalculation="0"/>
  <dimension ref="A1:E189"/>
  <sheetViews>
    <sheetView workbookViewId="0">
      <pane ySplit="1" topLeftCell="A2" activePane="bottomLeft" state="frozen"/>
      <selection pane="bottomLeft" activeCell="H4" sqref="H4"/>
    </sheetView>
  </sheetViews>
  <sheetFormatPr baseColWidth="10" defaultRowHeight="16" x14ac:dyDescent="0.2"/>
  <cols>
    <col min="1" max="1" width="51.83203125" style="1" customWidth="1"/>
    <col min="2" max="2" width="15.83203125" style="1" customWidth="1"/>
    <col min="3" max="3" width="34.33203125" style="1" customWidth="1"/>
    <col min="4" max="4" width="16.83203125" style="1" customWidth="1"/>
    <col min="5" max="5" width="21.33203125" style="1" customWidth="1"/>
    <col min="6" max="16384" width="10.83203125" style="1"/>
  </cols>
  <sheetData>
    <row r="1" spans="1:5" ht="32" customHeight="1" x14ac:dyDescent="0.2">
      <c r="A1" s="4" t="s">
        <v>299</v>
      </c>
      <c r="B1" s="5" t="s">
        <v>0</v>
      </c>
      <c r="C1" s="5" t="s">
        <v>46</v>
      </c>
      <c r="D1" s="5" t="s">
        <v>55</v>
      </c>
      <c r="E1" s="4" t="s">
        <v>295</v>
      </c>
    </row>
    <row r="2" spans="1:5" x14ac:dyDescent="0.2">
      <c r="A2" s="140" t="s">
        <v>273</v>
      </c>
      <c r="B2" s="11" t="s">
        <v>56</v>
      </c>
      <c r="C2" s="12" t="s">
        <v>78</v>
      </c>
      <c r="D2" s="13">
        <v>14</v>
      </c>
      <c r="E2" s="6" t="s">
        <v>310</v>
      </c>
    </row>
    <row r="3" spans="1:5" x14ac:dyDescent="0.2">
      <c r="A3" s="140"/>
      <c r="B3" s="11" t="s">
        <v>57</v>
      </c>
      <c r="C3" s="12" t="s">
        <v>79</v>
      </c>
      <c r="D3" s="13">
        <v>7</v>
      </c>
      <c r="E3" s="7" t="s">
        <v>305</v>
      </c>
    </row>
    <row r="4" spans="1:5" x14ac:dyDescent="0.2">
      <c r="A4" s="140"/>
      <c r="B4" s="11" t="s">
        <v>58</v>
      </c>
      <c r="C4" s="12" t="s">
        <v>80</v>
      </c>
      <c r="D4" s="13">
        <v>14</v>
      </c>
      <c r="E4" s="7" t="s">
        <v>311</v>
      </c>
    </row>
    <row r="5" spans="1:5" x14ac:dyDescent="0.2">
      <c r="A5" s="140"/>
      <c r="B5" s="11" t="s">
        <v>59</v>
      </c>
      <c r="C5" s="12" t="s">
        <v>81</v>
      </c>
      <c r="D5" s="13">
        <v>14</v>
      </c>
      <c r="E5" s="7" t="s">
        <v>311</v>
      </c>
    </row>
    <row r="6" spans="1:5" x14ac:dyDescent="0.2">
      <c r="A6" s="140"/>
      <c r="B6" s="11" t="s">
        <v>60</v>
      </c>
      <c r="C6" s="12" t="s">
        <v>82</v>
      </c>
      <c r="D6" s="13">
        <v>7</v>
      </c>
      <c r="E6" s="7" t="s">
        <v>312</v>
      </c>
    </row>
    <row r="7" spans="1:5" x14ac:dyDescent="0.2">
      <c r="A7" s="140"/>
      <c r="B7" s="11" t="s">
        <v>61</v>
      </c>
      <c r="C7" s="12" t="s">
        <v>80</v>
      </c>
      <c r="D7" s="13">
        <v>14</v>
      </c>
      <c r="E7" s="7" t="s">
        <v>313</v>
      </c>
    </row>
    <row r="8" spans="1:5" x14ac:dyDescent="0.2">
      <c r="A8" s="140"/>
      <c r="B8" s="11" t="s">
        <v>62</v>
      </c>
      <c r="C8" s="12" t="s">
        <v>80</v>
      </c>
      <c r="D8" s="13">
        <v>14</v>
      </c>
      <c r="E8" s="7" t="s">
        <v>313</v>
      </c>
    </row>
    <row r="9" spans="1:5" x14ac:dyDescent="0.2">
      <c r="A9" s="140"/>
      <c r="B9" s="11" t="s">
        <v>63</v>
      </c>
      <c r="C9" s="12" t="s">
        <v>83</v>
      </c>
      <c r="D9" s="13">
        <v>14</v>
      </c>
      <c r="E9" s="7" t="s">
        <v>305</v>
      </c>
    </row>
    <row r="10" spans="1:5" x14ac:dyDescent="0.2">
      <c r="A10" s="140"/>
      <c r="B10" s="11" t="s">
        <v>64</v>
      </c>
      <c r="C10" s="12" t="s">
        <v>84</v>
      </c>
      <c r="D10" s="13">
        <v>14</v>
      </c>
      <c r="E10" s="7" t="s">
        <v>314</v>
      </c>
    </row>
    <row r="11" spans="1:5" x14ac:dyDescent="0.2">
      <c r="A11" s="140"/>
      <c r="B11" s="11" t="s">
        <v>65</v>
      </c>
      <c r="C11" s="12" t="s">
        <v>85</v>
      </c>
      <c r="D11" s="13">
        <v>14</v>
      </c>
      <c r="E11" s="7" t="s">
        <v>312</v>
      </c>
    </row>
    <row r="12" spans="1:5" x14ac:dyDescent="0.2">
      <c r="A12" s="140"/>
      <c r="B12" s="11" t="s">
        <v>66</v>
      </c>
      <c r="C12" s="12" t="s">
        <v>80</v>
      </c>
      <c r="D12" s="13">
        <v>14</v>
      </c>
      <c r="E12" s="7" t="s">
        <v>311</v>
      </c>
    </row>
    <row r="13" spans="1:5" x14ac:dyDescent="0.2">
      <c r="A13" s="140"/>
      <c r="B13" s="11" t="s">
        <v>67</v>
      </c>
      <c r="C13" s="12" t="s">
        <v>86</v>
      </c>
      <c r="D13" s="13"/>
      <c r="E13" s="7" t="s">
        <v>312</v>
      </c>
    </row>
    <row r="14" spans="1:5" x14ac:dyDescent="0.2">
      <c r="A14" s="140"/>
      <c r="B14" s="11" t="s">
        <v>68</v>
      </c>
      <c r="C14" s="12" t="s">
        <v>87</v>
      </c>
      <c r="D14" s="13"/>
      <c r="E14" s="7" t="s">
        <v>316</v>
      </c>
    </row>
    <row r="15" spans="1:5" x14ac:dyDescent="0.2">
      <c r="A15" s="140"/>
      <c r="B15" s="11" t="s">
        <v>69</v>
      </c>
      <c r="C15" s="12" t="s">
        <v>88</v>
      </c>
      <c r="D15" s="13">
        <v>14</v>
      </c>
      <c r="E15" s="7" t="s">
        <v>312</v>
      </c>
    </row>
    <row r="16" spans="1:5" x14ac:dyDescent="0.2">
      <c r="A16" s="140"/>
      <c r="B16" s="14" t="s">
        <v>70</v>
      </c>
      <c r="C16" s="12" t="s">
        <v>89</v>
      </c>
      <c r="D16" s="13">
        <v>14</v>
      </c>
      <c r="E16" s="7" t="s">
        <v>310</v>
      </c>
    </row>
    <row r="17" spans="1:5" x14ac:dyDescent="0.2">
      <c r="A17" s="140"/>
      <c r="B17" s="11" t="s">
        <v>71</v>
      </c>
      <c r="C17" s="15" t="s">
        <v>90</v>
      </c>
      <c r="D17" s="13">
        <v>14</v>
      </c>
      <c r="E17" s="7" t="s">
        <v>313</v>
      </c>
    </row>
    <row r="18" spans="1:5" x14ac:dyDescent="0.2">
      <c r="A18" s="140"/>
      <c r="B18" s="11" t="s">
        <v>72</v>
      </c>
      <c r="C18" s="15" t="s">
        <v>91</v>
      </c>
      <c r="D18" s="13">
        <v>14</v>
      </c>
      <c r="E18" s="7" t="s">
        <v>312</v>
      </c>
    </row>
    <row r="19" spans="1:5" x14ac:dyDescent="0.2">
      <c r="A19" s="140"/>
      <c r="B19" s="11" t="s">
        <v>73</v>
      </c>
      <c r="C19" s="15" t="s">
        <v>50</v>
      </c>
      <c r="D19" s="13">
        <v>14</v>
      </c>
      <c r="E19" s="7" t="s">
        <v>313</v>
      </c>
    </row>
    <row r="20" spans="1:5" x14ac:dyDescent="0.2">
      <c r="A20" s="140"/>
      <c r="B20" s="11" t="s">
        <v>74</v>
      </c>
      <c r="C20" s="15" t="s">
        <v>92</v>
      </c>
      <c r="D20" s="11">
        <v>14</v>
      </c>
      <c r="E20" s="7" t="s">
        <v>313</v>
      </c>
    </row>
    <row r="21" spans="1:5" x14ac:dyDescent="0.2">
      <c r="A21" s="140"/>
      <c r="B21" s="11" t="s">
        <v>75</v>
      </c>
      <c r="C21" s="12" t="s">
        <v>93</v>
      </c>
      <c r="D21" s="13">
        <v>180</v>
      </c>
      <c r="E21" s="7" t="s">
        <v>312</v>
      </c>
    </row>
    <row r="22" spans="1:5" x14ac:dyDescent="0.2">
      <c r="A22" s="140"/>
      <c r="B22" s="11" t="s">
        <v>76</v>
      </c>
      <c r="C22" s="12" t="s">
        <v>93</v>
      </c>
      <c r="D22" s="13">
        <v>180</v>
      </c>
      <c r="E22" s="7" t="s">
        <v>312</v>
      </c>
    </row>
    <row r="23" spans="1:5" x14ac:dyDescent="0.2">
      <c r="A23" s="140"/>
      <c r="B23" s="11" t="s">
        <v>77</v>
      </c>
      <c r="C23" s="12" t="s">
        <v>94</v>
      </c>
      <c r="D23" s="13">
        <v>180</v>
      </c>
      <c r="E23" s="7" t="s">
        <v>312</v>
      </c>
    </row>
    <row r="24" spans="1:5" x14ac:dyDescent="0.2">
      <c r="A24" s="139" t="s">
        <v>274</v>
      </c>
      <c r="B24" s="16" t="s">
        <v>95</v>
      </c>
      <c r="C24" s="17" t="s">
        <v>138</v>
      </c>
      <c r="D24" s="17">
        <v>7</v>
      </c>
      <c r="E24" s="33" t="s">
        <v>310</v>
      </c>
    </row>
    <row r="25" spans="1:5" x14ac:dyDescent="0.2">
      <c r="A25" s="139"/>
      <c r="B25" s="16" t="s">
        <v>96</v>
      </c>
      <c r="C25" s="17" t="s">
        <v>139</v>
      </c>
      <c r="D25" s="17">
        <v>7</v>
      </c>
      <c r="E25" s="33" t="s">
        <v>312</v>
      </c>
    </row>
    <row r="26" spans="1:5" ht="32" x14ac:dyDescent="0.2">
      <c r="A26" s="139"/>
      <c r="B26" s="16" t="s">
        <v>97</v>
      </c>
      <c r="C26" s="17" t="s">
        <v>140</v>
      </c>
      <c r="D26" s="17">
        <v>14</v>
      </c>
      <c r="E26" s="33" t="s">
        <v>313</v>
      </c>
    </row>
    <row r="27" spans="1:5" x14ac:dyDescent="0.2">
      <c r="A27" s="139"/>
      <c r="B27" s="16" t="s">
        <v>98</v>
      </c>
      <c r="C27" s="17" t="s">
        <v>141</v>
      </c>
      <c r="D27" s="18">
        <v>14</v>
      </c>
      <c r="E27" s="33" t="s">
        <v>313</v>
      </c>
    </row>
    <row r="28" spans="1:5" x14ac:dyDescent="0.2">
      <c r="A28" s="139"/>
      <c r="B28" s="16" t="s">
        <v>99</v>
      </c>
      <c r="C28" s="17" t="s">
        <v>141</v>
      </c>
      <c r="D28" s="18">
        <v>14</v>
      </c>
      <c r="E28" s="33" t="s">
        <v>313</v>
      </c>
    </row>
    <row r="29" spans="1:5" x14ac:dyDescent="0.2">
      <c r="A29" s="139"/>
      <c r="B29" s="19" t="s">
        <v>100</v>
      </c>
      <c r="C29" s="20" t="s">
        <v>142</v>
      </c>
      <c r="D29" s="20">
        <v>14</v>
      </c>
      <c r="E29" s="33" t="s">
        <v>313</v>
      </c>
    </row>
    <row r="30" spans="1:5" x14ac:dyDescent="0.2">
      <c r="A30" s="139"/>
      <c r="B30" s="19" t="s">
        <v>101</v>
      </c>
      <c r="C30" s="20" t="s">
        <v>143</v>
      </c>
      <c r="D30" s="20">
        <v>14</v>
      </c>
      <c r="E30" s="33" t="s">
        <v>312</v>
      </c>
    </row>
    <row r="31" spans="1:5" x14ac:dyDescent="0.2">
      <c r="A31" s="139"/>
      <c r="B31" s="16" t="s">
        <v>102</v>
      </c>
      <c r="C31" s="17" t="s">
        <v>141</v>
      </c>
      <c r="D31" s="17">
        <v>14</v>
      </c>
      <c r="E31" s="33" t="s">
        <v>313</v>
      </c>
    </row>
    <row r="32" spans="1:5" x14ac:dyDescent="0.2">
      <c r="A32" s="139"/>
      <c r="B32" s="16" t="s">
        <v>103</v>
      </c>
      <c r="C32" s="17" t="s">
        <v>141</v>
      </c>
      <c r="D32" s="17">
        <v>14</v>
      </c>
      <c r="E32" s="33" t="s">
        <v>313</v>
      </c>
    </row>
    <row r="33" spans="1:5" x14ac:dyDescent="0.2">
      <c r="A33" s="139"/>
      <c r="B33" s="16" t="s">
        <v>104</v>
      </c>
      <c r="C33" s="17" t="s">
        <v>141</v>
      </c>
      <c r="D33" s="17">
        <v>14</v>
      </c>
      <c r="E33" s="33" t="s">
        <v>313</v>
      </c>
    </row>
    <row r="34" spans="1:5" x14ac:dyDescent="0.2">
      <c r="A34" s="139"/>
      <c r="B34" s="16" t="s">
        <v>105</v>
      </c>
      <c r="C34" s="21" t="s">
        <v>144</v>
      </c>
      <c r="D34" s="21"/>
      <c r="E34" s="33" t="s">
        <v>312</v>
      </c>
    </row>
    <row r="35" spans="1:5" x14ac:dyDescent="0.2">
      <c r="A35" s="139"/>
      <c r="B35" s="19" t="s">
        <v>106</v>
      </c>
      <c r="C35" s="18" t="s">
        <v>145</v>
      </c>
      <c r="D35" s="18">
        <v>14</v>
      </c>
      <c r="E35" s="33" t="s">
        <v>314</v>
      </c>
    </row>
    <row r="36" spans="1:5" x14ac:dyDescent="0.2">
      <c r="A36" s="139"/>
      <c r="B36" s="16" t="s">
        <v>107</v>
      </c>
      <c r="C36" s="16" t="s">
        <v>144</v>
      </c>
      <c r="D36" s="18">
        <v>14</v>
      </c>
      <c r="E36" s="33" t="s">
        <v>312</v>
      </c>
    </row>
    <row r="37" spans="1:5" x14ac:dyDescent="0.2">
      <c r="A37" s="139"/>
      <c r="B37" s="16" t="s">
        <v>108</v>
      </c>
      <c r="C37" s="16" t="s">
        <v>144</v>
      </c>
      <c r="D37" s="18">
        <v>14</v>
      </c>
      <c r="E37" s="33" t="s">
        <v>312</v>
      </c>
    </row>
    <row r="38" spans="1:5" x14ac:dyDescent="0.2">
      <c r="A38" s="139"/>
      <c r="B38" s="19" t="s">
        <v>109</v>
      </c>
      <c r="C38" s="17" t="s">
        <v>146</v>
      </c>
      <c r="D38" s="18">
        <v>7</v>
      </c>
      <c r="E38" s="33" t="s">
        <v>310</v>
      </c>
    </row>
    <row r="39" spans="1:5" x14ac:dyDescent="0.2">
      <c r="A39" s="139"/>
      <c r="B39" s="19" t="s">
        <v>110</v>
      </c>
      <c r="C39" s="16" t="s">
        <v>145</v>
      </c>
      <c r="D39" s="18">
        <v>14</v>
      </c>
      <c r="E39" s="33" t="s">
        <v>314</v>
      </c>
    </row>
    <row r="40" spans="1:5" x14ac:dyDescent="0.2">
      <c r="A40" s="139"/>
      <c r="B40" s="16" t="s">
        <v>111</v>
      </c>
      <c r="C40" s="17" t="s">
        <v>141</v>
      </c>
      <c r="D40" s="17">
        <v>14</v>
      </c>
      <c r="E40" s="33" t="s">
        <v>313</v>
      </c>
    </row>
    <row r="41" spans="1:5" x14ac:dyDescent="0.2">
      <c r="A41" s="139"/>
      <c r="B41" s="19" t="s">
        <v>112</v>
      </c>
      <c r="C41" s="17" t="s">
        <v>147</v>
      </c>
      <c r="D41" s="17">
        <v>14</v>
      </c>
      <c r="E41" s="33" t="s">
        <v>314</v>
      </c>
    </row>
    <row r="42" spans="1:5" x14ac:dyDescent="0.2">
      <c r="A42" s="139"/>
      <c r="B42" s="19" t="s">
        <v>113</v>
      </c>
      <c r="C42" s="20" t="s">
        <v>78</v>
      </c>
      <c r="D42" s="20">
        <v>14</v>
      </c>
      <c r="E42" s="33" t="s">
        <v>310</v>
      </c>
    </row>
    <row r="43" spans="1:5" x14ac:dyDescent="0.2">
      <c r="A43" s="139"/>
      <c r="B43" s="19" t="s">
        <v>114</v>
      </c>
      <c r="C43" s="20" t="s">
        <v>78</v>
      </c>
      <c r="D43" s="20">
        <v>14</v>
      </c>
      <c r="E43" s="33" t="s">
        <v>310</v>
      </c>
    </row>
    <row r="44" spans="1:5" x14ac:dyDescent="0.2">
      <c r="A44" s="139"/>
      <c r="B44" s="19" t="s">
        <v>115</v>
      </c>
      <c r="C44" s="20" t="s">
        <v>78</v>
      </c>
      <c r="D44" s="20">
        <v>14</v>
      </c>
      <c r="E44" s="33" t="s">
        <v>310</v>
      </c>
    </row>
    <row r="45" spans="1:5" x14ac:dyDescent="0.2">
      <c r="A45" s="139"/>
      <c r="B45" s="19" t="s">
        <v>116</v>
      </c>
      <c r="C45" s="20" t="s">
        <v>148</v>
      </c>
      <c r="D45" s="20">
        <v>14</v>
      </c>
      <c r="E45" s="33" t="s">
        <v>310</v>
      </c>
    </row>
    <row r="46" spans="1:5" x14ac:dyDescent="0.2">
      <c r="A46" s="139"/>
      <c r="B46" s="19" t="s">
        <v>117</v>
      </c>
      <c r="C46" s="20" t="s">
        <v>148</v>
      </c>
      <c r="D46" s="20">
        <v>14</v>
      </c>
      <c r="E46" s="33" t="s">
        <v>310</v>
      </c>
    </row>
    <row r="47" spans="1:5" x14ac:dyDescent="0.2">
      <c r="A47" s="139"/>
      <c r="B47" s="19" t="s">
        <v>118</v>
      </c>
      <c r="C47" s="20" t="s">
        <v>148</v>
      </c>
      <c r="D47" s="20">
        <v>14</v>
      </c>
      <c r="E47" s="33" t="s">
        <v>310</v>
      </c>
    </row>
    <row r="48" spans="1:5" x14ac:dyDescent="0.2">
      <c r="A48" s="139"/>
      <c r="B48" s="19" t="s">
        <v>119</v>
      </c>
      <c r="C48" s="20" t="s">
        <v>148</v>
      </c>
      <c r="D48" s="20">
        <v>14</v>
      </c>
      <c r="E48" s="33" t="s">
        <v>310</v>
      </c>
    </row>
    <row r="49" spans="1:5" x14ac:dyDescent="0.2">
      <c r="A49" s="139"/>
      <c r="B49" s="19" t="s">
        <v>120</v>
      </c>
      <c r="C49" s="20" t="s">
        <v>149</v>
      </c>
      <c r="D49" s="20">
        <v>14</v>
      </c>
      <c r="E49" s="33" t="s">
        <v>312</v>
      </c>
    </row>
    <row r="50" spans="1:5" x14ac:dyDescent="0.2">
      <c r="A50" s="139"/>
      <c r="B50" s="19" t="s">
        <v>121</v>
      </c>
      <c r="C50" s="20" t="s">
        <v>80</v>
      </c>
      <c r="D50" s="20">
        <v>14</v>
      </c>
      <c r="E50" s="33" t="s">
        <v>313</v>
      </c>
    </row>
    <row r="51" spans="1:5" x14ac:dyDescent="0.2">
      <c r="A51" s="139"/>
      <c r="B51" s="19" t="s">
        <v>122</v>
      </c>
      <c r="C51" s="20" t="s">
        <v>150</v>
      </c>
      <c r="D51" s="20">
        <v>14</v>
      </c>
      <c r="E51" s="33" t="s">
        <v>312</v>
      </c>
    </row>
    <row r="52" spans="1:5" x14ac:dyDescent="0.2">
      <c r="A52" s="139"/>
      <c r="B52" s="19" t="s">
        <v>123</v>
      </c>
      <c r="C52" s="17" t="s">
        <v>151</v>
      </c>
      <c r="D52" s="17">
        <v>7</v>
      </c>
      <c r="E52" s="33" t="s">
        <v>314</v>
      </c>
    </row>
    <row r="53" spans="1:5" x14ac:dyDescent="0.2">
      <c r="A53" s="139"/>
      <c r="B53" s="19" t="s">
        <v>124</v>
      </c>
      <c r="C53" s="17" t="s">
        <v>152</v>
      </c>
      <c r="D53" s="17">
        <v>7</v>
      </c>
      <c r="E53" s="33" t="s">
        <v>317</v>
      </c>
    </row>
    <row r="54" spans="1:5" x14ac:dyDescent="0.2">
      <c r="A54" s="139"/>
      <c r="B54" s="19" t="s">
        <v>125</v>
      </c>
      <c r="C54" s="17" t="s">
        <v>153</v>
      </c>
      <c r="D54" s="17">
        <v>7</v>
      </c>
      <c r="E54" s="33" t="s">
        <v>317</v>
      </c>
    </row>
    <row r="55" spans="1:5" x14ac:dyDescent="0.2">
      <c r="A55" s="139"/>
      <c r="B55" s="19" t="s">
        <v>126</v>
      </c>
      <c r="C55" s="17" t="s">
        <v>154</v>
      </c>
      <c r="D55" s="17">
        <v>14</v>
      </c>
      <c r="E55" s="33" t="s">
        <v>313</v>
      </c>
    </row>
    <row r="56" spans="1:5" x14ac:dyDescent="0.2">
      <c r="A56" s="139"/>
      <c r="B56" s="19" t="s">
        <v>127</v>
      </c>
      <c r="C56" s="17" t="s">
        <v>155</v>
      </c>
      <c r="D56" s="17">
        <v>7</v>
      </c>
      <c r="E56" s="33" t="s">
        <v>310</v>
      </c>
    </row>
    <row r="57" spans="1:5" x14ac:dyDescent="0.2">
      <c r="A57" s="139"/>
      <c r="B57" s="19" t="s">
        <v>128</v>
      </c>
      <c r="C57" s="17" t="s">
        <v>149</v>
      </c>
      <c r="D57" s="17">
        <v>14</v>
      </c>
      <c r="E57" s="33" t="s">
        <v>312</v>
      </c>
    </row>
    <row r="58" spans="1:5" x14ac:dyDescent="0.2">
      <c r="A58" s="139"/>
      <c r="B58" s="19" t="s">
        <v>129</v>
      </c>
      <c r="C58" s="17" t="s">
        <v>154</v>
      </c>
      <c r="D58" s="17">
        <v>14</v>
      </c>
      <c r="E58" s="33" t="s">
        <v>313</v>
      </c>
    </row>
    <row r="59" spans="1:5" x14ac:dyDescent="0.2">
      <c r="A59" s="139"/>
      <c r="B59" s="19" t="s">
        <v>130</v>
      </c>
      <c r="C59" s="17" t="s">
        <v>156</v>
      </c>
      <c r="D59" s="17">
        <v>7</v>
      </c>
      <c r="E59" s="33" t="s">
        <v>314</v>
      </c>
    </row>
    <row r="60" spans="1:5" x14ac:dyDescent="0.2">
      <c r="A60" s="139"/>
      <c r="B60" s="19" t="s">
        <v>131</v>
      </c>
      <c r="C60" s="17" t="s">
        <v>157</v>
      </c>
      <c r="D60" s="17">
        <v>7</v>
      </c>
      <c r="E60" s="33" t="s">
        <v>314</v>
      </c>
    </row>
    <row r="61" spans="1:5" x14ac:dyDescent="0.2">
      <c r="A61" s="139"/>
      <c r="B61" s="19" t="s">
        <v>132</v>
      </c>
      <c r="C61" s="20" t="s">
        <v>158</v>
      </c>
      <c r="D61" s="20">
        <v>7</v>
      </c>
      <c r="E61" s="33" t="s">
        <v>310</v>
      </c>
    </row>
    <row r="62" spans="1:5" x14ac:dyDescent="0.2">
      <c r="A62" s="139"/>
      <c r="B62" s="19" t="s">
        <v>133</v>
      </c>
      <c r="C62" s="17" t="s">
        <v>159</v>
      </c>
      <c r="D62" s="17">
        <v>180</v>
      </c>
      <c r="E62" s="33" t="s">
        <v>312</v>
      </c>
    </row>
    <row r="63" spans="1:5" x14ac:dyDescent="0.2">
      <c r="A63" s="139"/>
      <c r="B63" s="19" t="s">
        <v>134</v>
      </c>
      <c r="C63" s="17" t="s">
        <v>160</v>
      </c>
      <c r="D63" s="17">
        <v>180</v>
      </c>
      <c r="E63" s="33" t="s">
        <v>312</v>
      </c>
    </row>
    <row r="64" spans="1:5" x14ac:dyDescent="0.2">
      <c r="A64" s="139"/>
      <c r="B64" s="19" t="s">
        <v>135</v>
      </c>
      <c r="C64" s="17" t="s">
        <v>155</v>
      </c>
      <c r="D64" s="17">
        <v>7</v>
      </c>
      <c r="E64" s="33" t="s">
        <v>310</v>
      </c>
    </row>
    <row r="65" spans="1:5" x14ac:dyDescent="0.2">
      <c r="A65" s="139"/>
      <c r="B65" s="19" t="s">
        <v>136</v>
      </c>
      <c r="C65" s="17" t="s">
        <v>149</v>
      </c>
      <c r="D65" s="17">
        <v>30</v>
      </c>
      <c r="E65" s="33" t="s">
        <v>312</v>
      </c>
    </row>
    <row r="66" spans="1:5" x14ac:dyDescent="0.2">
      <c r="A66" s="139"/>
      <c r="B66" s="19" t="s">
        <v>137</v>
      </c>
      <c r="C66" s="17" t="s">
        <v>161</v>
      </c>
      <c r="D66" s="17">
        <v>180</v>
      </c>
      <c r="E66" s="33" t="s">
        <v>312</v>
      </c>
    </row>
    <row r="67" spans="1:5" x14ac:dyDescent="0.2">
      <c r="A67" s="136" t="s">
        <v>274</v>
      </c>
      <c r="B67" s="22" t="s">
        <v>162</v>
      </c>
      <c r="C67" s="23" t="s">
        <v>196</v>
      </c>
      <c r="D67" s="23">
        <v>14</v>
      </c>
      <c r="E67" s="34" t="s">
        <v>310</v>
      </c>
    </row>
    <row r="68" spans="1:5" x14ac:dyDescent="0.2">
      <c r="A68" s="136"/>
      <c r="B68" s="22" t="s">
        <v>163</v>
      </c>
      <c r="C68" s="23" t="s">
        <v>196</v>
      </c>
      <c r="D68" s="23">
        <v>14</v>
      </c>
      <c r="E68" s="34" t="s">
        <v>310</v>
      </c>
    </row>
    <row r="69" spans="1:5" x14ac:dyDescent="0.2">
      <c r="A69" s="136"/>
      <c r="B69" s="22" t="s">
        <v>164</v>
      </c>
      <c r="C69" s="23" t="s">
        <v>197</v>
      </c>
      <c r="D69" s="23">
        <v>14</v>
      </c>
      <c r="E69" s="34" t="s">
        <v>313</v>
      </c>
    </row>
    <row r="70" spans="1:5" x14ac:dyDescent="0.2">
      <c r="A70" s="136"/>
      <c r="B70" s="22" t="s">
        <v>165</v>
      </c>
      <c r="C70" s="23" t="s">
        <v>197</v>
      </c>
      <c r="D70" s="23">
        <v>14</v>
      </c>
      <c r="E70" s="34" t="s">
        <v>313</v>
      </c>
    </row>
    <row r="71" spans="1:5" x14ac:dyDescent="0.2">
      <c r="A71" s="136"/>
      <c r="B71" s="22" t="s">
        <v>166</v>
      </c>
      <c r="C71" s="23" t="s">
        <v>198</v>
      </c>
      <c r="D71" s="23">
        <v>14</v>
      </c>
      <c r="E71" s="34" t="s">
        <v>312</v>
      </c>
    </row>
    <row r="72" spans="1:5" x14ac:dyDescent="0.2">
      <c r="A72" s="136"/>
      <c r="B72" s="22" t="s">
        <v>167</v>
      </c>
      <c r="C72" s="24" t="s">
        <v>199</v>
      </c>
      <c r="D72" s="23">
        <v>14</v>
      </c>
      <c r="E72" s="34" t="s">
        <v>312</v>
      </c>
    </row>
    <row r="73" spans="1:5" x14ac:dyDescent="0.2">
      <c r="A73" s="136"/>
      <c r="B73" s="22" t="s">
        <v>168</v>
      </c>
      <c r="C73" s="23" t="s">
        <v>197</v>
      </c>
      <c r="D73" s="23">
        <v>14</v>
      </c>
      <c r="E73" s="34" t="s">
        <v>313</v>
      </c>
    </row>
    <row r="74" spans="1:5" x14ac:dyDescent="0.2">
      <c r="A74" s="136"/>
      <c r="B74" s="22" t="s">
        <v>169</v>
      </c>
      <c r="C74" s="23" t="s">
        <v>200</v>
      </c>
      <c r="D74" s="23">
        <v>14</v>
      </c>
      <c r="E74" s="34" t="s">
        <v>312</v>
      </c>
    </row>
    <row r="75" spans="1:5" x14ac:dyDescent="0.2">
      <c r="A75" s="136"/>
      <c r="B75" s="22" t="s">
        <v>170</v>
      </c>
      <c r="C75" s="23" t="s">
        <v>201</v>
      </c>
      <c r="D75" s="23">
        <v>14</v>
      </c>
      <c r="E75" s="34" t="s">
        <v>314</v>
      </c>
    </row>
    <row r="76" spans="1:5" x14ac:dyDescent="0.2">
      <c r="A76" s="136"/>
      <c r="B76" s="22" t="s">
        <v>171</v>
      </c>
      <c r="C76" s="23" t="s">
        <v>197</v>
      </c>
      <c r="D76" s="23">
        <v>14</v>
      </c>
      <c r="E76" s="34" t="s">
        <v>313</v>
      </c>
    </row>
    <row r="77" spans="1:5" x14ac:dyDescent="0.2">
      <c r="A77" s="136"/>
      <c r="B77" s="22" t="s">
        <v>172</v>
      </c>
      <c r="C77" s="24" t="s">
        <v>202</v>
      </c>
      <c r="D77" s="24">
        <v>7</v>
      </c>
      <c r="E77" s="34" t="s">
        <v>319</v>
      </c>
    </row>
    <row r="78" spans="1:5" x14ac:dyDescent="0.2">
      <c r="A78" s="136"/>
      <c r="B78" s="22" t="s">
        <v>173</v>
      </c>
      <c r="C78" s="24" t="s">
        <v>203</v>
      </c>
      <c r="D78" s="24">
        <v>7</v>
      </c>
      <c r="E78" s="34" t="s">
        <v>310</v>
      </c>
    </row>
    <row r="79" spans="1:5" x14ac:dyDescent="0.2">
      <c r="A79" s="136"/>
      <c r="B79" s="22" t="s">
        <v>174</v>
      </c>
      <c r="C79" s="24" t="s">
        <v>204</v>
      </c>
      <c r="D79" s="24">
        <v>7</v>
      </c>
      <c r="E79" s="34" t="s">
        <v>314</v>
      </c>
    </row>
    <row r="80" spans="1:5" x14ac:dyDescent="0.2">
      <c r="A80" s="136"/>
      <c r="B80" s="22" t="s">
        <v>175</v>
      </c>
      <c r="C80" s="24" t="s">
        <v>205</v>
      </c>
      <c r="D80" s="24">
        <v>7</v>
      </c>
      <c r="E80" s="34" t="s">
        <v>314</v>
      </c>
    </row>
    <row r="81" spans="1:5" x14ac:dyDescent="0.2">
      <c r="A81" s="136"/>
      <c r="B81" s="22" t="s">
        <v>176</v>
      </c>
      <c r="C81" s="25" t="s">
        <v>206</v>
      </c>
      <c r="D81" s="25">
        <v>30</v>
      </c>
      <c r="E81" s="34" t="s">
        <v>314</v>
      </c>
    </row>
    <row r="82" spans="1:5" x14ac:dyDescent="0.2">
      <c r="A82" s="136"/>
      <c r="B82" s="22" t="s">
        <v>177</v>
      </c>
      <c r="C82" s="25" t="s">
        <v>206</v>
      </c>
      <c r="D82" s="25">
        <v>30</v>
      </c>
      <c r="E82" s="34" t="s">
        <v>314</v>
      </c>
    </row>
    <row r="83" spans="1:5" x14ac:dyDescent="0.2">
      <c r="A83" s="136"/>
      <c r="B83" s="22" t="s">
        <v>178</v>
      </c>
      <c r="C83" s="25" t="s">
        <v>206</v>
      </c>
      <c r="D83" s="25">
        <v>30</v>
      </c>
      <c r="E83" s="34" t="s">
        <v>314</v>
      </c>
    </row>
    <row r="84" spans="1:5" x14ac:dyDescent="0.2">
      <c r="A84" s="136"/>
      <c r="B84" s="22" t="s">
        <v>179</v>
      </c>
      <c r="C84" s="25" t="s">
        <v>207</v>
      </c>
      <c r="D84" s="25">
        <v>7</v>
      </c>
      <c r="E84" s="34" t="s">
        <v>314</v>
      </c>
    </row>
    <row r="85" spans="1:5" x14ac:dyDescent="0.2">
      <c r="A85" s="136"/>
      <c r="B85" s="22" t="s">
        <v>180</v>
      </c>
      <c r="C85" s="25" t="s">
        <v>208</v>
      </c>
      <c r="D85" s="25">
        <v>7</v>
      </c>
      <c r="E85" s="34" t="s">
        <v>317</v>
      </c>
    </row>
    <row r="86" spans="1:5" x14ac:dyDescent="0.2">
      <c r="A86" s="136"/>
      <c r="B86" s="22" t="s">
        <v>181</v>
      </c>
      <c r="C86" s="25" t="s">
        <v>209</v>
      </c>
      <c r="D86" s="25">
        <v>7</v>
      </c>
      <c r="E86" s="34" t="s">
        <v>317</v>
      </c>
    </row>
    <row r="87" spans="1:5" x14ac:dyDescent="0.2">
      <c r="A87" s="136"/>
      <c r="B87" s="22" t="s">
        <v>182</v>
      </c>
      <c r="C87" s="25" t="s">
        <v>210</v>
      </c>
      <c r="D87" s="25">
        <v>30</v>
      </c>
      <c r="E87" s="34" t="s">
        <v>314</v>
      </c>
    </row>
    <row r="88" spans="1:5" x14ac:dyDescent="0.2">
      <c r="A88" s="136"/>
      <c r="B88" s="22" t="s">
        <v>183</v>
      </c>
      <c r="C88" s="25" t="s">
        <v>210</v>
      </c>
      <c r="D88" s="25">
        <v>30</v>
      </c>
      <c r="E88" s="34" t="s">
        <v>314</v>
      </c>
    </row>
    <row r="89" spans="1:5" x14ac:dyDescent="0.2">
      <c r="A89" s="136"/>
      <c r="B89" s="22" t="s">
        <v>184</v>
      </c>
      <c r="C89" s="24" t="s">
        <v>199</v>
      </c>
      <c r="D89" s="25">
        <v>30</v>
      </c>
      <c r="E89" s="34" t="s">
        <v>312</v>
      </c>
    </row>
    <row r="90" spans="1:5" x14ac:dyDescent="0.2">
      <c r="A90" s="136"/>
      <c r="B90" s="22" t="s">
        <v>185</v>
      </c>
      <c r="C90" s="24" t="s">
        <v>199</v>
      </c>
      <c r="D90" s="25">
        <v>30</v>
      </c>
      <c r="E90" s="34" t="s">
        <v>312</v>
      </c>
    </row>
    <row r="91" spans="1:5" x14ac:dyDescent="0.2">
      <c r="A91" s="136"/>
      <c r="B91" s="22" t="s">
        <v>186</v>
      </c>
      <c r="C91" s="24" t="s">
        <v>211</v>
      </c>
      <c r="D91" s="25">
        <v>30</v>
      </c>
      <c r="E91" s="34"/>
    </row>
    <row r="92" spans="1:5" x14ac:dyDescent="0.2">
      <c r="A92" s="136"/>
      <c r="B92" s="22" t="s">
        <v>187</v>
      </c>
      <c r="C92" s="24" t="s">
        <v>212</v>
      </c>
      <c r="D92" s="25">
        <v>30</v>
      </c>
      <c r="E92" s="34"/>
    </row>
    <row r="93" spans="1:5" x14ac:dyDescent="0.2">
      <c r="A93" s="136"/>
      <c r="B93" s="22" t="s">
        <v>188</v>
      </c>
      <c r="C93" s="24" t="s">
        <v>211</v>
      </c>
      <c r="D93" s="25">
        <v>30</v>
      </c>
      <c r="E93" s="34"/>
    </row>
    <row r="94" spans="1:5" x14ac:dyDescent="0.2">
      <c r="A94" s="136"/>
      <c r="B94" s="22" t="s">
        <v>189</v>
      </c>
      <c r="C94" s="24" t="s">
        <v>211</v>
      </c>
      <c r="D94" s="25">
        <v>30</v>
      </c>
      <c r="E94" s="34"/>
    </row>
    <row r="95" spans="1:5" x14ac:dyDescent="0.2">
      <c r="A95" s="136"/>
      <c r="B95" s="22" t="s">
        <v>190</v>
      </c>
      <c r="C95" s="24" t="s">
        <v>199</v>
      </c>
      <c r="D95" s="25">
        <v>30</v>
      </c>
      <c r="E95" s="34" t="s">
        <v>312</v>
      </c>
    </row>
    <row r="96" spans="1:5" x14ac:dyDescent="0.2">
      <c r="A96" s="136"/>
      <c r="B96" s="22" t="s">
        <v>191</v>
      </c>
      <c r="C96" s="24" t="s">
        <v>209</v>
      </c>
      <c r="D96" s="24">
        <v>14</v>
      </c>
      <c r="E96" s="34" t="s">
        <v>317</v>
      </c>
    </row>
    <row r="97" spans="1:5" x14ac:dyDescent="0.2">
      <c r="A97" s="136"/>
      <c r="B97" s="22" t="s">
        <v>192</v>
      </c>
      <c r="C97" s="24" t="s">
        <v>209</v>
      </c>
      <c r="D97" s="24">
        <v>14</v>
      </c>
      <c r="E97" s="34" t="s">
        <v>317</v>
      </c>
    </row>
    <row r="98" spans="1:5" x14ac:dyDescent="0.2">
      <c r="A98" s="136"/>
      <c r="B98" s="22" t="s">
        <v>193</v>
      </c>
      <c r="C98" s="24" t="s">
        <v>209</v>
      </c>
      <c r="D98" s="24">
        <v>14</v>
      </c>
      <c r="E98" s="34" t="s">
        <v>317</v>
      </c>
    </row>
    <row r="99" spans="1:5" x14ac:dyDescent="0.2">
      <c r="A99" s="136"/>
      <c r="B99" s="22" t="s">
        <v>194</v>
      </c>
      <c r="C99" s="24" t="s">
        <v>209</v>
      </c>
      <c r="D99" s="24">
        <v>14</v>
      </c>
      <c r="E99" s="34" t="s">
        <v>317</v>
      </c>
    </row>
    <row r="100" spans="1:5" x14ac:dyDescent="0.2">
      <c r="A100" s="136"/>
      <c r="B100" s="22" t="s">
        <v>195</v>
      </c>
      <c r="C100" s="24" t="s">
        <v>213</v>
      </c>
      <c r="D100" s="24">
        <v>14</v>
      </c>
      <c r="E100" s="34" t="s">
        <v>317</v>
      </c>
    </row>
    <row r="101" spans="1:5" x14ac:dyDescent="0.2">
      <c r="A101" s="137" t="s">
        <v>275</v>
      </c>
      <c r="B101" s="35" t="s">
        <v>214</v>
      </c>
      <c r="C101" s="36" t="s">
        <v>258</v>
      </c>
      <c r="D101" s="36">
        <v>30</v>
      </c>
      <c r="E101" s="37" t="s">
        <v>312</v>
      </c>
    </row>
    <row r="102" spans="1:5" x14ac:dyDescent="0.2">
      <c r="A102" s="137"/>
      <c r="B102" s="35" t="s">
        <v>215</v>
      </c>
      <c r="C102" s="36" t="s">
        <v>209</v>
      </c>
      <c r="D102" s="36">
        <v>14</v>
      </c>
      <c r="E102" s="37" t="s">
        <v>317</v>
      </c>
    </row>
    <row r="103" spans="1:5" x14ac:dyDescent="0.2">
      <c r="A103" s="137"/>
      <c r="B103" s="35" t="s">
        <v>216</v>
      </c>
      <c r="C103" s="36" t="s">
        <v>209</v>
      </c>
      <c r="D103" s="36">
        <v>14</v>
      </c>
      <c r="E103" s="37" t="s">
        <v>317</v>
      </c>
    </row>
    <row r="104" spans="1:5" x14ac:dyDescent="0.2">
      <c r="A104" s="137"/>
      <c r="B104" s="35" t="s">
        <v>217</v>
      </c>
      <c r="C104" s="36" t="s">
        <v>259</v>
      </c>
      <c r="D104" s="36">
        <v>14</v>
      </c>
      <c r="E104" s="37" t="s">
        <v>317</v>
      </c>
    </row>
    <row r="105" spans="1:5" x14ac:dyDescent="0.2">
      <c r="A105" s="137"/>
      <c r="B105" s="35" t="s">
        <v>218</v>
      </c>
      <c r="C105" s="36" t="s">
        <v>155</v>
      </c>
      <c r="D105" s="36">
        <v>7</v>
      </c>
      <c r="E105" s="37" t="s">
        <v>312</v>
      </c>
    </row>
    <row r="106" spans="1:5" x14ac:dyDescent="0.2">
      <c r="A106" s="137"/>
      <c r="B106" s="35" t="s">
        <v>219</v>
      </c>
      <c r="C106" s="36" t="s">
        <v>155</v>
      </c>
      <c r="D106" s="36">
        <v>7</v>
      </c>
      <c r="E106" s="37" t="s">
        <v>312</v>
      </c>
    </row>
    <row r="107" spans="1:5" x14ac:dyDescent="0.2">
      <c r="A107" s="137"/>
      <c r="B107" s="35" t="s">
        <v>220</v>
      </c>
      <c r="C107" s="36" t="s">
        <v>260</v>
      </c>
      <c r="D107" s="36">
        <v>7</v>
      </c>
      <c r="E107" s="37" t="s">
        <v>314</v>
      </c>
    </row>
    <row r="108" spans="1:5" x14ac:dyDescent="0.2">
      <c r="A108" s="137"/>
      <c r="B108" s="35" t="s">
        <v>221</v>
      </c>
      <c r="C108" s="36" t="s">
        <v>260</v>
      </c>
      <c r="D108" s="36">
        <v>7</v>
      </c>
      <c r="E108" s="37" t="s">
        <v>314</v>
      </c>
    </row>
    <row r="109" spans="1:5" x14ac:dyDescent="0.2">
      <c r="A109" s="137"/>
      <c r="B109" s="35" t="s">
        <v>222</v>
      </c>
      <c r="C109" s="38" t="s">
        <v>261</v>
      </c>
      <c r="D109" s="38">
        <v>7</v>
      </c>
      <c r="E109" s="37" t="s">
        <v>310</v>
      </c>
    </row>
    <row r="110" spans="1:5" x14ac:dyDescent="0.2">
      <c r="A110" s="137"/>
      <c r="B110" s="35" t="s">
        <v>223</v>
      </c>
      <c r="C110" s="36" t="s">
        <v>262</v>
      </c>
      <c r="D110" s="36">
        <v>14</v>
      </c>
      <c r="E110" s="37" t="s">
        <v>314</v>
      </c>
    </row>
    <row r="111" spans="1:5" x14ac:dyDescent="0.2">
      <c r="A111" s="137"/>
      <c r="B111" s="35" t="s">
        <v>224</v>
      </c>
      <c r="C111" s="36" t="s">
        <v>263</v>
      </c>
      <c r="D111" s="36">
        <v>14</v>
      </c>
      <c r="E111" s="37" t="s">
        <v>314</v>
      </c>
    </row>
    <row r="112" spans="1:5" x14ac:dyDescent="0.2">
      <c r="A112" s="137"/>
      <c r="B112" s="35" t="s">
        <v>225</v>
      </c>
      <c r="C112" s="38" t="s">
        <v>204</v>
      </c>
      <c r="D112" s="38">
        <v>14</v>
      </c>
      <c r="E112" s="37" t="s">
        <v>314</v>
      </c>
    </row>
    <row r="113" spans="1:5" x14ac:dyDescent="0.2">
      <c r="A113" s="137"/>
      <c r="B113" s="35" t="s">
        <v>226</v>
      </c>
      <c r="C113" s="36" t="s">
        <v>264</v>
      </c>
      <c r="D113" s="36">
        <v>7</v>
      </c>
      <c r="E113" s="37" t="s">
        <v>314</v>
      </c>
    </row>
    <row r="114" spans="1:5" x14ac:dyDescent="0.2">
      <c r="A114" s="137"/>
      <c r="B114" s="35" t="s">
        <v>227</v>
      </c>
      <c r="C114" s="36" t="s">
        <v>264</v>
      </c>
      <c r="D114" s="36">
        <v>7</v>
      </c>
      <c r="E114" s="37" t="s">
        <v>314</v>
      </c>
    </row>
    <row r="115" spans="1:5" x14ac:dyDescent="0.2">
      <c r="A115" s="137"/>
      <c r="B115" s="35" t="s">
        <v>228</v>
      </c>
      <c r="C115" s="36" t="s">
        <v>265</v>
      </c>
      <c r="D115" s="36">
        <v>14</v>
      </c>
      <c r="E115" s="37" t="s">
        <v>314</v>
      </c>
    </row>
    <row r="116" spans="1:5" x14ac:dyDescent="0.2">
      <c r="A116" s="137"/>
      <c r="B116" s="35" t="s">
        <v>229</v>
      </c>
      <c r="C116" s="36" t="s">
        <v>265</v>
      </c>
      <c r="D116" s="36">
        <v>14</v>
      </c>
      <c r="E116" s="37" t="s">
        <v>314</v>
      </c>
    </row>
    <row r="117" spans="1:5" x14ac:dyDescent="0.2">
      <c r="A117" s="137"/>
      <c r="B117" s="35" t="s">
        <v>230</v>
      </c>
      <c r="C117" s="36" t="s">
        <v>265</v>
      </c>
      <c r="D117" s="36">
        <v>14</v>
      </c>
      <c r="E117" s="37" t="s">
        <v>314</v>
      </c>
    </row>
    <row r="118" spans="1:5" x14ac:dyDescent="0.2">
      <c r="A118" s="137"/>
      <c r="B118" s="35" t="s">
        <v>231</v>
      </c>
      <c r="C118" s="36" t="s">
        <v>265</v>
      </c>
      <c r="D118" s="36">
        <v>14</v>
      </c>
      <c r="E118" s="37" t="s">
        <v>314</v>
      </c>
    </row>
    <row r="119" spans="1:5" x14ac:dyDescent="0.2">
      <c r="A119" s="137"/>
      <c r="B119" s="35" t="s">
        <v>232</v>
      </c>
      <c r="C119" s="36" t="s">
        <v>155</v>
      </c>
      <c r="D119" s="36">
        <v>14</v>
      </c>
      <c r="E119" s="37" t="s">
        <v>310</v>
      </c>
    </row>
    <row r="120" spans="1:5" x14ac:dyDescent="0.2">
      <c r="A120" s="137"/>
      <c r="B120" s="35" t="s">
        <v>233</v>
      </c>
      <c r="C120" s="36" t="s">
        <v>266</v>
      </c>
      <c r="D120" s="36">
        <v>14</v>
      </c>
      <c r="E120" s="37" t="s">
        <v>314</v>
      </c>
    </row>
    <row r="121" spans="1:5" x14ac:dyDescent="0.2">
      <c r="A121" s="137"/>
      <c r="B121" s="35" t="s">
        <v>234</v>
      </c>
      <c r="C121" s="36" t="s">
        <v>265</v>
      </c>
      <c r="D121" s="36">
        <v>14</v>
      </c>
      <c r="E121" s="37" t="s">
        <v>314</v>
      </c>
    </row>
    <row r="122" spans="1:5" x14ac:dyDescent="0.2">
      <c r="A122" s="137"/>
      <c r="B122" s="35" t="s">
        <v>235</v>
      </c>
      <c r="C122" s="36" t="s">
        <v>267</v>
      </c>
      <c r="D122" s="36">
        <v>14</v>
      </c>
      <c r="E122" s="37" t="s">
        <v>314</v>
      </c>
    </row>
    <row r="123" spans="1:5" x14ac:dyDescent="0.2">
      <c r="A123" s="137"/>
      <c r="B123" s="35" t="s">
        <v>236</v>
      </c>
      <c r="C123" s="39" t="s">
        <v>268</v>
      </c>
      <c r="D123" s="36">
        <v>14</v>
      </c>
      <c r="E123" s="37" t="s">
        <v>314</v>
      </c>
    </row>
    <row r="124" spans="1:5" x14ac:dyDescent="0.2">
      <c r="A124" s="137"/>
      <c r="B124" s="35" t="s">
        <v>237</v>
      </c>
      <c r="C124" s="39" t="s">
        <v>204</v>
      </c>
      <c r="D124" s="39" t="s">
        <v>300</v>
      </c>
      <c r="E124" s="37" t="s">
        <v>314</v>
      </c>
    </row>
    <row r="125" spans="1:5" x14ac:dyDescent="0.2">
      <c r="A125" s="137"/>
      <c r="B125" s="35" t="s">
        <v>238</v>
      </c>
      <c r="C125" s="36" t="s">
        <v>268</v>
      </c>
      <c r="D125" s="39" t="s">
        <v>301</v>
      </c>
      <c r="E125" s="37" t="s">
        <v>314</v>
      </c>
    </row>
    <row r="126" spans="1:5" x14ac:dyDescent="0.2">
      <c r="A126" s="137"/>
      <c r="B126" s="35" t="s">
        <v>239</v>
      </c>
      <c r="C126" s="36" t="s">
        <v>268</v>
      </c>
      <c r="D126" s="39" t="s">
        <v>301</v>
      </c>
      <c r="E126" s="37" t="s">
        <v>314</v>
      </c>
    </row>
    <row r="127" spans="1:5" x14ac:dyDescent="0.2">
      <c r="A127" s="137"/>
      <c r="B127" s="35" t="s">
        <v>240</v>
      </c>
      <c r="C127" s="39" t="s">
        <v>268</v>
      </c>
      <c r="D127" s="39" t="s">
        <v>301</v>
      </c>
      <c r="E127" s="37" t="s">
        <v>314</v>
      </c>
    </row>
    <row r="128" spans="1:5" x14ac:dyDescent="0.2">
      <c r="A128" s="137"/>
      <c r="B128" s="35" t="s">
        <v>241</v>
      </c>
      <c r="C128" s="39" t="s">
        <v>265</v>
      </c>
      <c r="D128" s="39" t="s">
        <v>301</v>
      </c>
      <c r="E128" s="37" t="s">
        <v>314</v>
      </c>
    </row>
    <row r="129" spans="1:5" x14ac:dyDescent="0.2">
      <c r="A129" s="137"/>
      <c r="B129" s="35" t="s">
        <v>242</v>
      </c>
      <c r="C129" s="39" t="s">
        <v>265</v>
      </c>
      <c r="D129" s="39" t="s">
        <v>301</v>
      </c>
      <c r="E129" s="37" t="s">
        <v>314</v>
      </c>
    </row>
    <row r="130" spans="1:5" x14ac:dyDescent="0.2">
      <c r="A130" s="137"/>
      <c r="B130" s="35" t="s">
        <v>243</v>
      </c>
      <c r="C130" s="36" t="s">
        <v>267</v>
      </c>
      <c r="D130" s="39" t="s">
        <v>302</v>
      </c>
      <c r="E130" s="37" t="s">
        <v>314</v>
      </c>
    </row>
    <row r="131" spans="1:5" x14ac:dyDescent="0.2">
      <c r="A131" s="137"/>
      <c r="B131" s="35" t="s">
        <v>244</v>
      </c>
      <c r="C131" s="36" t="s">
        <v>269</v>
      </c>
      <c r="D131" s="36">
        <v>7</v>
      </c>
      <c r="E131" s="37" t="s">
        <v>314</v>
      </c>
    </row>
    <row r="132" spans="1:5" x14ac:dyDescent="0.2">
      <c r="A132" s="137"/>
      <c r="B132" s="35" t="s">
        <v>245</v>
      </c>
      <c r="C132" s="36" t="s">
        <v>270</v>
      </c>
      <c r="D132" s="36">
        <v>7</v>
      </c>
      <c r="E132" s="37" t="s">
        <v>314</v>
      </c>
    </row>
    <row r="133" spans="1:5" x14ac:dyDescent="0.2">
      <c r="A133" s="137"/>
      <c r="B133" s="35" t="s">
        <v>246</v>
      </c>
      <c r="C133" s="36" t="s">
        <v>271</v>
      </c>
      <c r="D133" s="36">
        <v>7</v>
      </c>
      <c r="E133" s="37" t="s">
        <v>314</v>
      </c>
    </row>
    <row r="134" spans="1:5" x14ac:dyDescent="0.2">
      <c r="A134" s="137"/>
      <c r="B134" s="35" t="s">
        <v>247</v>
      </c>
      <c r="C134" s="36" t="s">
        <v>271</v>
      </c>
      <c r="D134" s="36">
        <v>7</v>
      </c>
      <c r="E134" s="37" t="s">
        <v>314</v>
      </c>
    </row>
    <row r="135" spans="1:5" x14ac:dyDescent="0.2">
      <c r="A135" s="137"/>
      <c r="B135" s="35" t="s">
        <v>248</v>
      </c>
      <c r="C135" s="36" t="s">
        <v>271</v>
      </c>
      <c r="D135" s="36">
        <v>7</v>
      </c>
      <c r="E135" s="37" t="s">
        <v>314</v>
      </c>
    </row>
    <row r="136" spans="1:5" x14ac:dyDescent="0.2">
      <c r="A136" s="137"/>
      <c r="B136" s="35" t="s">
        <v>249</v>
      </c>
      <c r="C136" s="36" t="s">
        <v>270</v>
      </c>
      <c r="D136" s="36">
        <v>7</v>
      </c>
      <c r="E136" s="37" t="s">
        <v>314</v>
      </c>
    </row>
    <row r="137" spans="1:5" x14ac:dyDescent="0.2">
      <c r="A137" s="137"/>
      <c r="B137" s="35" t="s">
        <v>250</v>
      </c>
      <c r="C137" s="36" t="s">
        <v>271</v>
      </c>
      <c r="D137" s="36">
        <v>7</v>
      </c>
      <c r="E137" s="37" t="s">
        <v>314</v>
      </c>
    </row>
    <row r="138" spans="1:5" x14ac:dyDescent="0.2">
      <c r="A138" s="137"/>
      <c r="B138" s="35" t="s">
        <v>251</v>
      </c>
      <c r="C138" s="36" t="s">
        <v>270</v>
      </c>
      <c r="D138" s="36">
        <v>7</v>
      </c>
      <c r="E138" s="37" t="s">
        <v>314</v>
      </c>
    </row>
    <row r="139" spans="1:5" x14ac:dyDescent="0.2">
      <c r="A139" s="137"/>
      <c r="B139" s="35" t="s">
        <v>252</v>
      </c>
      <c r="C139" s="36" t="s">
        <v>271</v>
      </c>
      <c r="D139" s="36">
        <v>7</v>
      </c>
      <c r="E139" s="37" t="s">
        <v>314</v>
      </c>
    </row>
    <row r="140" spans="1:5" x14ac:dyDescent="0.2">
      <c r="A140" s="137"/>
      <c r="B140" s="35" t="s">
        <v>253</v>
      </c>
      <c r="C140" s="36" t="s">
        <v>270</v>
      </c>
      <c r="D140" s="36">
        <v>7</v>
      </c>
      <c r="E140" s="37" t="s">
        <v>314</v>
      </c>
    </row>
    <row r="141" spans="1:5" x14ac:dyDescent="0.2">
      <c r="A141" s="137"/>
      <c r="B141" s="35" t="s">
        <v>254</v>
      </c>
      <c r="C141" s="36" t="s">
        <v>271</v>
      </c>
      <c r="D141" s="36">
        <v>7</v>
      </c>
      <c r="E141" s="37" t="s">
        <v>314</v>
      </c>
    </row>
    <row r="142" spans="1:5" x14ac:dyDescent="0.2">
      <c r="A142" s="137"/>
      <c r="B142" s="35" t="s">
        <v>255</v>
      </c>
      <c r="C142" s="36" t="s">
        <v>270</v>
      </c>
      <c r="D142" s="36">
        <v>7</v>
      </c>
      <c r="E142" s="37" t="s">
        <v>314</v>
      </c>
    </row>
    <row r="143" spans="1:5" x14ac:dyDescent="0.2">
      <c r="A143" s="137"/>
      <c r="B143" s="35" t="s">
        <v>256</v>
      </c>
      <c r="C143" s="36" t="s">
        <v>272</v>
      </c>
      <c r="D143" s="36">
        <v>7</v>
      </c>
      <c r="E143" s="37" t="s">
        <v>314</v>
      </c>
    </row>
    <row r="144" spans="1:5" x14ac:dyDescent="0.2">
      <c r="A144" s="137"/>
      <c r="B144" s="35" t="s">
        <v>257</v>
      </c>
      <c r="C144" s="36" t="s">
        <v>258</v>
      </c>
      <c r="D144" s="36">
        <v>30</v>
      </c>
      <c r="E144" s="37" t="s">
        <v>312</v>
      </c>
    </row>
    <row r="145" spans="1:5" x14ac:dyDescent="0.2">
      <c r="A145" s="138" t="s">
        <v>276</v>
      </c>
      <c r="B145" s="26" t="s">
        <v>1</v>
      </c>
      <c r="C145" s="27" t="s">
        <v>47</v>
      </c>
      <c r="D145" s="27">
        <v>30</v>
      </c>
      <c r="E145" s="40" t="s">
        <v>314</v>
      </c>
    </row>
    <row r="146" spans="1:5" x14ac:dyDescent="0.2">
      <c r="A146" s="138"/>
      <c r="B146" s="26" t="s">
        <v>2</v>
      </c>
      <c r="C146" s="27" t="s">
        <v>47</v>
      </c>
      <c r="D146" s="27">
        <v>30</v>
      </c>
      <c r="E146" s="40" t="s">
        <v>314</v>
      </c>
    </row>
    <row r="147" spans="1:5" x14ac:dyDescent="0.2">
      <c r="A147" s="138"/>
      <c r="B147" s="26" t="s">
        <v>3</v>
      </c>
      <c r="C147" s="27" t="s">
        <v>48</v>
      </c>
      <c r="D147" s="27">
        <v>30</v>
      </c>
      <c r="E147" s="40" t="s">
        <v>314</v>
      </c>
    </row>
    <row r="148" spans="1:5" x14ac:dyDescent="0.2">
      <c r="A148" s="138"/>
      <c r="B148" s="26" t="s">
        <v>4</v>
      </c>
      <c r="C148" s="27" t="s">
        <v>49</v>
      </c>
      <c r="D148" s="27">
        <v>30</v>
      </c>
      <c r="E148" s="40" t="s">
        <v>314</v>
      </c>
    </row>
    <row r="149" spans="1:5" x14ac:dyDescent="0.2">
      <c r="A149" s="138"/>
      <c r="B149" s="26" t="s">
        <v>5</v>
      </c>
      <c r="C149" s="27" t="s">
        <v>49</v>
      </c>
      <c r="D149" s="27">
        <v>30</v>
      </c>
      <c r="E149" s="40" t="s">
        <v>314</v>
      </c>
    </row>
    <row r="150" spans="1:5" x14ac:dyDescent="0.2">
      <c r="A150" s="138"/>
      <c r="B150" s="26" t="s">
        <v>6</v>
      </c>
      <c r="C150" s="27" t="s">
        <v>49</v>
      </c>
      <c r="D150" s="27">
        <v>30</v>
      </c>
      <c r="E150" s="40" t="s">
        <v>314</v>
      </c>
    </row>
    <row r="151" spans="1:5" x14ac:dyDescent="0.2">
      <c r="A151" s="138"/>
      <c r="B151" s="26" t="s">
        <v>7</v>
      </c>
      <c r="C151" s="27" t="s">
        <v>49</v>
      </c>
      <c r="D151" s="27">
        <v>30</v>
      </c>
      <c r="E151" s="40" t="s">
        <v>314</v>
      </c>
    </row>
    <row r="152" spans="1:5" x14ac:dyDescent="0.2">
      <c r="A152" s="138"/>
      <c r="B152" s="26" t="s">
        <v>8</v>
      </c>
      <c r="C152" s="27" t="s">
        <v>49</v>
      </c>
      <c r="D152" s="27">
        <v>30</v>
      </c>
      <c r="E152" s="40" t="s">
        <v>314</v>
      </c>
    </row>
    <row r="153" spans="1:5" x14ac:dyDescent="0.2">
      <c r="A153" s="138"/>
      <c r="B153" s="26" t="s">
        <v>9</v>
      </c>
      <c r="C153" s="27" t="s">
        <v>49</v>
      </c>
      <c r="D153" s="27">
        <v>30</v>
      </c>
      <c r="E153" s="40" t="s">
        <v>314</v>
      </c>
    </row>
    <row r="154" spans="1:5" x14ac:dyDescent="0.2">
      <c r="A154" s="138"/>
      <c r="B154" s="26" t="s">
        <v>10</v>
      </c>
      <c r="C154" s="27" t="s">
        <v>49</v>
      </c>
      <c r="D154" s="27">
        <v>30</v>
      </c>
      <c r="E154" s="40" t="s">
        <v>314</v>
      </c>
    </row>
    <row r="155" spans="1:5" x14ac:dyDescent="0.2">
      <c r="A155" s="138"/>
      <c r="B155" s="26" t="s">
        <v>11</v>
      </c>
      <c r="C155" s="27" t="s">
        <v>49</v>
      </c>
      <c r="D155" s="27">
        <v>30</v>
      </c>
      <c r="E155" s="40" t="s">
        <v>314</v>
      </c>
    </row>
    <row r="156" spans="1:5" x14ac:dyDescent="0.2">
      <c r="A156" s="138"/>
      <c r="B156" s="26" t="s">
        <v>12</v>
      </c>
      <c r="C156" s="27" t="s">
        <v>49</v>
      </c>
      <c r="D156" s="27">
        <v>30</v>
      </c>
      <c r="E156" s="40" t="s">
        <v>314</v>
      </c>
    </row>
    <row r="157" spans="1:5" x14ac:dyDescent="0.2">
      <c r="A157" s="138"/>
      <c r="B157" s="26" t="s">
        <v>13</v>
      </c>
      <c r="C157" s="27" t="s">
        <v>49</v>
      </c>
      <c r="D157" s="27">
        <v>30</v>
      </c>
      <c r="E157" s="40" t="s">
        <v>314</v>
      </c>
    </row>
    <row r="158" spans="1:5" x14ac:dyDescent="0.2">
      <c r="A158" s="138"/>
      <c r="B158" s="26" t="s">
        <v>14</v>
      </c>
      <c r="C158" s="27" t="s">
        <v>49</v>
      </c>
      <c r="D158" s="27">
        <v>30</v>
      </c>
      <c r="E158" s="40" t="s">
        <v>314</v>
      </c>
    </row>
    <row r="159" spans="1:5" x14ac:dyDescent="0.2">
      <c r="A159" s="138"/>
      <c r="B159" s="26" t="s">
        <v>15</v>
      </c>
      <c r="C159" s="27" t="s">
        <v>49</v>
      </c>
      <c r="D159" s="27">
        <v>30</v>
      </c>
      <c r="E159" s="40" t="s">
        <v>314</v>
      </c>
    </row>
    <row r="160" spans="1:5" x14ac:dyDescent="0.2">
      <c r="A160" s="138"/>
      <c r="B160" s="26" t="s">
        <v>16</v>
      </c>
      <c r="C160" s="27" t="s">
        <v>49</v>
      </c>
      <c r="D160" s="27">
        <v>30</v>
      </c>
      <c r="E160" s="40" t="s">
        <v>314</v>
      </c>
    </row>
    <row r="161" spans="1:5" x14ac:dyDescent="0.2">
      <c r="A161" s="138"/>
      <c r="B161" s="26" t="s">
        <v>17</v>
      </c>
      <c r="C161" s="27" t="s">
        <v>49</v>
      </c>
      <c r="D161" s="27">
        <v>30</v>
      </c>
      <c r="E161" s="40" t="s">
        <v>314</v>
      </c>
    </row>
    <row r="162" spans="1:5" x14ac:dyDescent="0.2">
      <c r="A162" s="138"/>
      <c r="B162" s="26" t="s">
        <v>18</v>
      </c>
      <c r="C162" s="27" t="s">
        <v>49</v>
      </c>
      <c r="D162" s="27">
        <v>30</v>
      </c>
      <c r="E162" s="40" t="s">
        <v>314</v>
      </c>
    </row>
    <row r="163" spans="1:5" x14ac:dyDescent="0.2">
      <c r="A163" s="138"/>
      <c r="B163" s="26" t="s">
        <v>19</v>
      </c>
      <c r="C163" s="27" t="s">
        <v>49</v>
      </c>
      <c r="D163" s="27">
        <v>30</v>
      </c>
      <c r="E163" s="40" t="s">
        <v>314</v>
      </c>
    </row>
    <row r="164" spans="1:5" x14ac:dyDescent="0.2">
      <c r="A164" s="138"/>
      <c r="B164" s="26" t="s">
        <v>20</v>
      </c>
      <c r="C164" s="27" t="s">
        <v>49</v>
      </c>
      <c r="D164" s="27">
        <v>30</v>
      </c>
      <c r="E164" s="40" t="s">
        <v>314</v>
      </c>
    </row>
    <row r="165" spans="1:5" x14ac:dyDescent="0.2">
      <c r="A165" s="138"/>
      <c r="B165" s="28" t="s">
        <v>21</v>
      </c>
      <c r="C165" s="27" t="s">
        <v>49</v>
      </c>
      <c r="D165" s="27">
        <v>30</v>
      </c>
      <c r="E165" s="40" t="s">
        <v>314</v>
      </c>
    </row>
    <row r="166" spans="1:5" x14ac:dyDescent="0.2">
      <c r="A166" s="138"/>
      <c r="B166" s="28" t="s">
        <v>22</v>
      </c>
      <c r="C166" s="27" t="s">
        <v>49</v>
      </c>
      <c r="D166" s="27">
        <v>30</v>
      </c>
      <c r="E166" s="40" t="s">
        <v>314</v>
      </c>
    </row>
    <row r="167" spans="1:5" x14ac:dyDescent="0.2">
      <c r="A167" s="138"/>
      <c r="B167" s="26" t="s">
        <v>23</v>
      </c>
      <c r="C167" s="27" t="s">
        <v>49</v>
      </c>
      <c r="D167" s="27">
        <v>30</v>
      </c>
      <c r="E167" s="40" t="s">
        <v>314</v>
      </c>
    </row>
    <row r="168" spans="1:5" x14ac:dyDescent="0.2">
      <c r="A168" s="138"/>
      <c r="B168" s="26" t="s">
        <v>24</v>
      </c>
      <c r="C168" s="26" t="s">
        <v>49</v>
      </c>
      <c r="D168" s="27">
        <v>30</v>
      </c>
      <c r="E168" s="40" t="s">
        <v>314</v>
      </c>
    </row>
    <row r="169" spans="1:5" x14ac:dyDescent="0.2">
      <c r="A169" s="138"/>
      <c r="B169" s="26" t="s">
        <v>25</v>
      </c>
      <c r="C169" s="27" t="s">
        <v>49</v>
      </c>
      <c r="D169" s="27">
        <v>30</v>
      </c>
      <c r="E169" s="40" t="s">
        <v>314</v>
      </c>
    </row>
    <row r="170" spans="1:5" x14ac:dyDescent="0.2">
      <c r="A170" s="138"/>
      <c r="B170" s="26" t="s">
        <v>26</v>
      </c>
      <c r="C170" s="27" t="s">
        <v>49</v>
      </c>
      <c r="D170" s="27">
        <v>30</v>
      </c>
      <c r="E170" s="40" t="s">
        <v>314</v>
      </c>
    </row>
    <row r="171" spans="1:5" x14ac:dyDescent="0.2">
      <c r="A171" s="138"/>
      <c r="B171" s="26" t="s">
        <v>27</v>
      </c>
      <c r="C171" s="27" t="s">
        <v>50</v>
      </c>
      <c r="D171" s="27">
        <v>14</v>
      </c>
      <c r="E171" s="40" t="s">
        <v>313</v>
      </c>
    </row>
    <row r="172" spans="1:5" x14ac:dyDescent="0.2">
      <c r="A172" s="138"/>
      <c r="B172" s="26" t="s">
        <v>28</v>
      </c>
      <c r="C172" s="29" t="s">
        <v>50</v>
      </c>
      <c r="D172" s="27">
        <v>14</v>
      </c>
      <c r="E172" s="40" t="s">
        <v>313</v>
      </c>
    </row>
    <row r="173" spans="1:5" x14ac:dyDescent="0.2">
      <c r="A173" s="138"/>
      <c r="B173" s="26" t="s">
        <v>29</v>
      </c>
      <c r="C173" s="27" t="s">
        <v>50</v>
      </c>
      <c r="D173" s="27">
        <v>14</v>
      </c>
      <c r="E173" s="40" t="s">
        <v>313</v>
      </c>
    </row>
    <row r="174" spans="1:5" x14ac:dyDescent="0.2">
      <c r="A174" s="138"/>
      <c r="B174" s="26" t="s">
        <v>30</v>
      </c>
      <c r="C174" s="30" t="s">
        <v>47</v>
      </c>
      <c r="D174" s="27">
        <v>7</v>
      </c>
      <c r="E174" s="40" t="s">
        <v>314</v>
      </c>
    </row>
    <row r="175" spans="1:5" x14ac:dyDescent="0.2">
      <c r="A175" s="138"/>
      <c r="B175" s="31" t="s">
        <v>31</v>
      </c>
      <c r="C175" s="27" t="s">
        <v>51</v>
      </c>
      <c r="D175" s="27">
        <v>14</v>
      </c>
      <c r="E175" s="40" t="s">
        <v>314</v>
      </c>
    </row>
    <row r="176" spans="1:5" x14ac:dyDescent="0.2">
      <c r="A176" s="138"/>
      <c r="B176" s="31" t="s">
        <v>32</v>
      </c>
      <c r="C176" s="27" t="s">
        <v>52</v>
      </c>
      <c r="D176" s="27">
        <v>14</v>
      </c>
      <c r="E176" s="40" t="s">
        <v>314</v>
      </c>
    </row>
    <row r="177" spans="1:5" x14ac:dyDescent="0.2">
      <c r="A177" s="138"/>
      <c r="B177" s="26" t="s">
        <v>33</v>
      </c>
      <c r="C177" s="27" t="s">
        <v>50</v>
      </c>
      <c r="D177" s="27">
        <v>14</v>
      </c>
      <c r="E177" s="40" t="s">
        <v>313</v>
      </c>
    </row>
    <row r="178" spans="1:5" x14ac:dyDescent="0.2">
      <c r="A178" s="138"/>
      <c r="B178" s="26" t="s">
        <v>34</v>
      </c>
      <c r="C178" s="26" t="s">
        <v>51</v>
      </c>
      <c r="D178" s="27">
        <v>14</v>
      </c>
      <c r="E178" s="40" t="s">
        <v>314</v>
      </c>
    </row>
    <row r="179" spans="1:5" x14ac:dyDescent="0.2">
      <c r="A179" s="138"/>
      <c r="B179" s="31" t="s">
        <v>35</v>
      </c>
      <c r="C179" s="27" t="s">
        <v>51</v>
      </c>
      <c r="D179" s="27">
        <v>14</v>
      </c>
      <c r="E179" s="40" t="s">
        <v>314</v>
      </c>
    </row>
    <row r="180" spans="1:5" x14ac:dyDescent="0.2">
      <c r="A180" s="138"/>
      <c r="B180" s="26" t="s">
        <v>36</v>
      </c>
      <c r="C180" s="27" t="s">
        <v>53</v>
      </c>
      <c r="D180" s="27">
        <v>14</v>
      </c>
      <c r="E180" s="40" t="s">
        <v>314</v>
      </c>
    </row>
    <row r="181" spans="1:5" x14ac:dyDescent="0.2">
      <c r="A181" s="138"/>
      <c r="B181" s="31" t="s">
        <v>37</v>
      </c>
      <c r="C181" s="32" t="s">
        <v>53</v>
      </c>
      <c r="D181" s="27">
        <v>14</v>
      </c>
      <c r="E181" s="40" t="s">
        <v>314</v>
      </c>
    </row>
    <row r="182" spans="1:5" x14ac:dyDescent="0.2">
      <c r="A182" s="138"/>
      <c r="B182" s="26" t="s">
        <v>38</v>
      </c>
      <c r="C182" s="29" t="s">
        <v>53</v>
      </c>
      <c r="D182" s="27">
        <v>14</v>
      </c>
      <c r="E182" s="40" t="s">
        <v>314</v>
      </c>
    </row>
    <row r="183" spans="1:5" x14ac:dyDescent="0.2">
      <c r="A183" s="138"/>
      <c r="B183" s="31" t="s">
        <v>39</v>
      </c>
      <c r="C183" s="30" t="s">
        <v>53</v>
      </c>
      <c r="D183" s="27">
        <v>14</v>
      </c>
      <c r="E183" s="40" t="s">
        <v>314</v>
      </c>
    </row>
    <row r="184" spans="1:5" x14ac:dyDescent="0.2">
      <c r="A184" s="138"/>
      <c r="B184" s="26" t="s">
        <v>40</v>
      </c>
      <c r="C184" s="27" t="s">
        <v>53</v>
      </c>
      <c r="D184" s="27">
        <v>14</v>
      </c>
      <c r="E184" s="40" t="s">
        <v>314</v>
      </c>
    </row>
    <row r="185" spans="1:5" x14ac:dyDescent="0.2">
      <c r="A185" s="138"/>
      <c r="B185" s="26" t="s">
        <v>41</v>
      </c>
      <c r="C185" s="29" t="s">
        <v>53</v>
      </c>
      <c r="D185" s="27">
        <v>14</v>
      </c>
      <c r="E185" s="40" t="s">
        <v>314</v>
      </c>
    </row>
    <row r="186" spans="1:5" x14ac:dyDescent="0.2">
      <c r="A186" s="138"/>
      <c r="B186" s="31" t="s">
        <v>42</v>
      </c>
      <c r="C186" s="30" t="s">
        <v>50</v>
      </c>
      <c r="D186" s="27">
        <v>14</v>
      </c>
      <c r="E186" s="40" t="s">
        <v>313</v>
      </c>
    </row>
    <row r="187" spans="1:5" x14ac:dyDescent="0.2">
      <c r="A187" s="138"/>
      <c r="B187" s="31" t="s">
        <v>43</v>
      </c>
      <c r="C187" s="27" t="s">
        <v>53</v>
      </c>
      <c r="D187" s="27">
        <v>14</v>
      </c>
      <c r="E187" s="40" t="s">
        <v>314</v>
      </c>
    </row>
    <row r="188" spans="1:5" x14ac:dyDescent="0.2">
      <c r="A188" s="138"/>
      <c r="B188" s="31" t="s">
        <v>44</v>
      </c>
      <c r="C188" s="27" t="s">
        <v>53</v>
      </c>
      <c r="D188" s="27">
        <v>14</v>
      </c>
      <c r="E188" s="40" t="s">
        <v>314</v>
      </c>
    </row>
    <row r="189" spans="1:5" x14ac:dyDescent="0.2">
      <c r="A189" s="138"/>
      <c r="B189" s="26" t="s">
        <v>45</v>
      </c>
      <c r="C189" s="26" t="s">
        <v>54</v>
      </c>
      <c r="D189" s="26"/>
      <c r="E189" s="40" t="s">
        <v>314</v>
      </c>
    </row>
  </sheetData>
  <mergeCells count="5">
    <mergeCell ref="A67:A100"/>
    <mergeCell ref="A101:A144"/>
    <mergeCell ref="A145:A189"/>
    <mergeCell ref="A24:A66"/>
    <mergeCell ref="A2:A23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autoFill="0" autoPict="0" macro="[0]!OuvrirMenuGMAO">
                <anchor moveWithCells="1" sizeWithCells="1">
                  <from>
                    <xdr:col>5</xdr:col>
                    <xdr:colOff>787400</xdr:colOff>
                    <xdr:row>0</xdr:row>
                    <xdr:rowOff>12700</xdr:rowOff>
                  </from>
                  <to>
                    <xdr:col>8</xdr:col>
                    <xdr:colOff>0</xdr:colOff>
                    <xdr:row>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LUBRIFIANTS!$A$2:$A$24</xm:f>
          </x14:formula1>
          <xm:sqref>E2:E189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5" enableFormatConditionsCalculation="0"/>
  <dimension ref="A1:F29"/>
  <sheetViews>
    <sheetView showGridLines="0" zoomScale="90" zoomScaleNormal="90" workbookViewId="0">
      <pane ySplit="1" topLeftCell="A2" activePane="bottomLeft" state="frozenSplit"/>
      <selection pane="bottomLeft" activeCell="D6" sqref="D6"/>
    </sheetView>
  </sheetViews>
  <sheetFormatPr baseColWidth="10" defaultRowHeight="16" x14ac:dyDescent="0.2"/>
  <cols>
    <col min="1" max="1" width="18.83203125" style="46" customWidth="1"/>
    <col min="2" max="2" width="35.83203125" style="46" customWidth="1"/>
    <col min="3" max="3" width="20.83203125" style="46" customWidth="1"/>
    <col min="4" max="4" width="18.83203125" style="46" customWidth="1"/>
    <col min="5" max="5" width="20.83203125" style="46" customWidth="1"/>
    <col min="6" max="6" width="12.83203125" style="46" customWidth="1"/>
    <col min="7" max="16384" width="10.83203125" style="46"/>
  </cols>
  <sheetData>
    <row r="1" spans="1:6" ht="35" customHeight="1" x14ac:dyDescent="0.2">
      <c r="A1" s="110" t="s">
        <v>277</v>
      </c>
      <c r="B1" s="110" t="s">
        <v>46</v>
      </c>
      <c r="C1" s="110" t="s">
        <v>278</v>
      </c>
      <c r="D1" s="110" t="s">
        <v>279</v>
      </c>
      <c r="E1" s="110" t="s">
        <v>329</v>
      </c>
      <c r="F1" s="110" t="s">
        <v>330</v>
      </c>
    </row>
    <row r="2" spans="1:6" ht="24" customHeight="1" x14ac:dyDescent="0.2">
      <c r="A2" s="111" t="s">
        <v>358</v>
      </c>
      <c r="B2" s="112" t="s">
        <v>280</v>
      </c>
      <c r="C2" s="111" t="s">
        <v>284</v>
      </c>
      <c r="D2" s="113">
        <v>100</v>
      </c>
      <c r="E2" s="113"/>
      <c r="F2" s="111" t="s">
        <v>382</v>
      </c>
    </row>
    <row r="3" spans="1:6" ht="24" customHeight="1" x14ac:dyDescent="0.2">
      <c r="A3" s="111" t="s">
        <v>359</v>
      </c>
      <c r="B3" s="112" t="s">
        <v>280</v>
      </c>
      <c r="C3" s="111" t="s">
        <v>285</v>
      </c>
      <c r="D3" s="113">
        <v>100</v>
      </c>
      <c r="E3" s="113"/>
      <c r="F3" s="111" t="s">
        <v>382</v>
      </c>
    </row>
    <row r="4" spans="1:6" ht="24" customHeight="1" x14ac:dyDescent="0.2">
      <c r="A4" s="111" t="s">
        <v>360</v>
      </c>
      <c r="B4" s="112" t="s">
        <v>281</v>
      </c>
      <c r="C4" s="111" t="s">
        <v>284</v>
      </c>
      <c r="D4" s="113">
        <v>100</v>
      </c>
      <c r="E4" s="113"/>
      <c r="F4" s="111" t="s">
        <v>382</v>
      </c>
    </row>
    <row r="5" spans="1:6" ht="24" customHeight="1" x14ac:dyDescent="0.2">
      <c r="A5" s="111" t="s">
        <v>361</v>
      </c>
      <c r="B5" s="112" t="s">
        <v>281</v>
      </c>
      <c r="C5" s="111" t="s">
        <v>285</v>
      </c>
      <c r="D5" s="113">
        <v>100</v>
      </c>
      <c r="E5" s="113"/>
      <c r="F5" s="111" t="s">
        <v>382</v>
      </c>
    </row>
    <row r="6" spans="1:6" ht="24" customHeight="1" x14ac:dyDescent="0.2">
      <c r="A6" s="111" t="s">
        <v>362</v>
      </c>
      <c r="B6" s="112" t="s">
        <v>282</v>
      </c>
      <c r="C6" s="111" t="s">
        <v>284</v>
      </c>
      <c r="D6" s="113">
        <v>100</v>
      </c>
      <c r="E6" s="113"/>
      <c r="F6" s="111" t="s">
        <v>382</v>
      </c>
    </row>
    <row r="7" spans="1:6" ht="24" customHeight="1" x14ac:dyDescent="0.2">
      <c r="A7" s="111" t="s">
        <v>363</v>
      </c>
      <c r="B7" s="112" t="s">
        <v>282</v>
      </c>
      <c r="C7" s="111" t="s">
        <v>285</v>
      </c>
      <c r="D7" s="113">
        <v>100</v>
      </c>
      <c r="E7" s="113"/>
      <c r="F7" s="111" t="s">
        <v>382</v>
      </c>
    </row>
    <row r="8" spans="1:6" ht="24" customHeight="1" x14ac:dyDescent="0.2">
      <c r="A8" s="111" t="s">
        <v>364</v>
      </c>
      <c r="B8" s="112" t="s">
        <v>283</v>
      </c>
      <c r="C8" s="111" t="s">
        <v>284</v>
      </c>
      <c r="D8" s="113">
        <v>100</v>
      </c>
      <c r="E8" s="113"/>
      <c r="F8" s="111" t="s">
        <v>382</v>
      </c>
    </row>
    <row r="9" spans="1:6" ht="24" customHeight="1" x14ac:dyDescent="0.2">
      <c r="A9" s="111" t="s">
        <v>365</v>
      </c>
      <c r="B9" s="112" t="s">
        <v>283</v>
      </c>
      <c r="C9" s="111" t="s">
        <v>285</v>
      </c>
      <c r="D9" s="113">
        <v>100</v>
      </c>
      <c r="E9" s="113"/>
      <c r="F9" s="111" t="s">
        <v>382</v>
      </c>
    </row>
    <row r="10" spans="1:6" ht="24" customHeight="1" x14ac:dyDescent="0.2">
      <c r="A10" s="111" t="s">
        <v>366</v>
      </c>
      <c r="B10" s="112" t="s">
        <v>308</v>
      </c>
      <c r="C10" s="111"/>
      <c r="D10" s="113">
        <v>100</v>
      </c>
      <c r="E10" s="113"/>
      <c r="F10" s="111" t="s">
        <v>382</v>
      </c>
    </row>
    <row r="11" spans="1:6" ht="24" customHeight="1" x14ac:dyDescent="0.2">
      <c r="A11" s="111" t="s">
        <v>367</v>
      </c>
      <c r="B11" s="112" t="s">
        <v>315</v>
      </c>
      <c r="C11" s="111">
        <v>46</v>
      </c>
      <c r="D11" s="113">
        <v>100</v>
      </c>
      <c r="E11" s="113"/>
      <c r="F11" s="111" t="s">
        <v>382</v>
      </c>
    </row>
    <row r="12" spans="1:6" ht="24" customHeight="1" x14ac:dyDescent="0.2">
      <c r="A12" s="111" t="s">
        <v>368</v>
      </c>
      <c r="B12" s="112" t="s">
        <v>315</v>
      </c>
      <c r="C12" s="111">
        <v>68</v>
      </c>
      <c r="D12" s="113">
        <v>100</v>
      </c>
      <c r="E12" s="113"/>
      <c r="F12" s="111" t="s">
        <v>382</v>
      </c>
    </row>
    <row r="13" spans="1:6" ht="24" customHeight="1" x14ac:dyDescent="0.2">
      <c r="A13" s="111" t="s">
        <v>369</v>
      </c>
      <c r="B13" s="112" t="s">
        <v>315</v>
      </c>
      <c r="C13" s="111">
        <v>32</v>
      </c>
      <c r="D13" s="113">
        <v>100</v>
      </c>
      <c r="E13" s="113"/>
      <c r="F13" s="111" t="s">
        <v>382</v>
      </c>
    </row>
    <row r="14" spans="1:6" ht="24" customHeight="1" x14ac:dyDescent="0.2">
      <c r="A14" s="111" t="s">
        <v>370</v>
      </c>
      <c r="B14" s="112" t="s">
        <v>318</v>
      </c>
      <c r="C14" s="111">
        <v>224</v>
      </c>
      <c r="D14" s="113">
        <v>100</v>
      </c>
      <c r="E14" s="113"/>
      <c r="F14" s="111" t="s">
        <v>382</v>
      </c>
    </row>
    <row r="15" spans="1:6" ht="24" customHeight="1" x14ac:dyDescent="0.2">
      <c r="A15" s="111" t="s">
        <v>371</v>
      </c>
      <c r="B15" s="112" t="s">
        <v>286</v>
      </c>
      <c r="C15" s="111" t="s">
        <v>306</v>
      </c>
      <c r="D15" s="113">
        <v>100</v>
      </c>
      <c r="E15" s="113"/>
      <c r="F15" s="111" t="s">
        <v>337</v>
      </c>
    </row>
    <row r="16" spans="1:6" ht="24" customHeight="1" x14ac:dyDescent="0.2">
      <c r="A16" s="111" t="s">
        <v>372</v>
      </c>
      <c r="B16" s="112" t="s">
        <v>286</v>
      </c>
      <c r="C16" s="111" t="s">
        <v>287</v>
      </c>
      <c r="D16" s="113">
        <v>100</v>
      </c>
      <c r="E16" s="113"/>
      <c r="F16" s="111" t="s">
        <v>337</v>
      </c>
    </row>
    <row r="17" spans="1:6" ht="24" customHeight="1" x14ac:dyDescent="0.2">
      <c r="A17" s="111" t="s">
        <v>373</v>
      </c>
      <c r="B17" s="112" t="s">
        <v>286</v>
      </c>
      <c r="C17" s="111" t="s">
        <v>288</v>
      </c>
      <c r="D17" s="113">
        <v>100</v>
      </c>
      <c r="E17" s="113"/>
      <c r="F17" s="111" t="s">
        <v>337</v>
      </c>
    </row>
    <row r="18" spans="1:6" ht="24" customHeight="1" x14ac:dyDescent="0.2">
      <c r="A18" s="111" t="s">
        <v>374</v>
      </c>
      <c r="B18" s="112" t="s">
        <v>286</v>
      </c>
      <c r="C18" s="111" t="s">
        <v>307</v>
      </c>
      <c r="D18" s="113">
        <v>100</v>
      </c>
      <c r="E18" s="113"/>
      <c r="F18" s="111" t="s">
        <v>337</v>
      </c>
    </row>
    <row r="19" spans="1:6" ht="24" customHeight="1" x14ac:dyDescent="0.2">
      <c r="A19" s="111" t="s">
        <v>375</v>
      </c>
      <c r="B19" s="112" t="s">
        <v>286</v>
      </c>
      <c r="C19" s="111" t="s">
        <v>309</v>
      </c>
      <c r="D19" s="113">
        <v>100</v>
      </c>
      <c r="E19" s="113"/>
      <c r="F19" s="111" t="s">
        <v>337</v>
      </c>
    </row>
    <row r="20" spans="1:6" ht="24" customHeight="1" x14ac:dyDescent="0.2">
      <c r="A20" s="111" t="s">
        <v>376</v>
      </c>
      <c r="B20" s="112" t="s">
        <v>286</v>
      </c>
      <c r="C20" s="111" t="s">
        <v>379</v>
      </c>
      <c r="D20" s="113">
        <v>100</v>
      </c>
      <c r="E20" s="113"/>
      <c r="F20" s="111" t="s">
        <v>337</v>
      </c>
    </row>
    <row r="21" spans="1:6" ht="24" customHeight="1" x14ac:dyDescent="0.2">
      <c r="A21" s="111" t="s">
        <v>377</v>
      </c>
      <c r="B21" s="112" t="s">
        <v>286</v>
      </c>
      <c r="C21" s="111" t="s">
        <v>380</v>
      </c>
      <c r="D21" s="113">
        <v>10</v>
      </c>
      <c r="E21" s="113"/>
      <c r="F21" s="111" t="s">
        <v>381</v>
      </c>
    </row>
    <row r="22" spans="1:6" ht="24" customHeight="1" x14ac:dyDescent="0.2">
      <c r="A22" s="111" t="s">
        <v>378</v>
      </c>
      <c r="B22" s="112" t="s">
        <v>286</v>
      </c>
      <c r="C22" s="111"/>
      <c r="D22" s="113">
        <v>100</v>
      </c>
      <c r="E22" s="113"/>
      <c r="F22" s="111" t="s">
        <v>337</v>
      </c>
    </row>
    <row r="23" spans="1:6" x14ac:dyDescent="0.2">
      <c r="A23" s="53"/>
      <c r="B23" s="53"/>
      <c r="C23" s="53"/>
      <c r="D23" s="53"/>
      <c r="E23" s="53"/>
      <c r="F23" s="53"/>
    </row>
    <row r="24" spans="1:6" x14ac:dyDescent="0.2">
      <c r="A24" s="53"/>
      <c r="B24" s="53"/>
      <c r="C24" s="53"/>
      <c r="D24" s="53"/>
      <c r="E24" s="53"/>
      <c r="F24" s="53"/>
    </row>
    <row r="25" spans="1:6" x14ac:dyDescent="0.2">
      <c r="A25" s="53"/>
      <c r="B25" s="53"/>
      <c r="C25" s="53"/>
      <c r="D25" s="53"/>
      <c r="E25" s="53"/>
      <c r="F25" s="53"/>
    </row>
    <row r="26" spans="1:6" x14ac:dyDescent="0.2">
      <c r="A26" s="53"/>
      <c r="B26" s="53"/>
      <c r="C26" s="53"/>
      <c r="D26" s="53"/>
      <c r="E26" s="53"/>
      <c r="F26" s="53"/>
    </row>
    <row r="27" spans="1:6" x14ac:dyDescent="0.2">
      <c r="A27" s="53"/>
      <c r="B27" s="53"/>
      <c r="C27" s="53"/>
      <c r="D27" s="53"/>
      <c r="E27" s="53"/>
      <c r="F27" s="53"/>
    </row>
    <row r="28" spans="1:6" x14ac:dyDescent="0.2">
      <c r="A28" s="53"/>
      <c r="B28" s="53"/>
      <c r="C28" s="53"/>
      <c r="D28" s="53"/>
      <c r="E28" s="53"/>
      <c r="F28" s="53"/>
    </row>
    <row r="29" spans="1:6" x14ac:dyDescent="0.2">
      <c r="A29" s="53"/>
      <c r="B29" s="53"/>
      <c r="C29" s="53"/>
      <c r="D29" s="53"/>
      <c r="E29" s="53"/>
      <c r="F29" s="5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OuvrirMenuGMAO">
                <anchor moveWithCells="1" sizeWithCells="1">
                  <from>
                    <xdr:col>6</xdr:col>
                    <xdr:colOff>800100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3" enableFormatConditionsCalculation="0"/>
  <dimension ref="A1:Q14"/>
  <sheetViews>
    <sheetView topLeftCell="G1" workbookViewId="0">
      <pane ySplit="1" topLeftCell="A2" activePane="bottomLeft" state="frozen"/>
      <selection activeCell="H1" sqref="H1"/>
      <selection pane="bottomLeft" activeCell="P18" sqref="P18"/>
    </sheetView>
  </sheetViews>
  <sheetFormatPr baseColWidth="10" defaultRowHeight="16" x14ac:dyDescent="0.2"/>
  <cols>
    <col min="1" max="1" width="19.1640625" customWidth="1"/>
    <col min="2" max="2" width="21.83203125" customWidth="1"/>
    <col min="3" max="3" width="20.83203125" customWidth="1"/>
    <col min="4" max="4" width="14.83203125" customWidth="1"/>
    <col min="5" max="5" width="14.33203125" customWidth="1"/>
    <col min="6" max="6" width="9.5" customWidth="1"/>
    <col min="7" max="7" width="13.33203125" customWidth="1"/>
    <col min="8" max="8" width="14" customWidth="1"/>
    <col min="9" max="9" width="17.6640625" customWidth="1"/>
    <col min="10" max="10" width="19" customWidth="1"/>
    <col min="11" max="11" width="14.83203125" customWidth="1"/>
    <col min="13" max="13" width="15.6640625" customWidth="1"/>
    <col min="14" max="14" width="17.33203125" customWidth="1"/>
    <col min="16" max="16" width="18.83203125" customWidth="1"/>
    <col min="17" max="17" width="22.1640625" customWidth="1"/>
  </cols>
  <sheetData>
    <row r="1" spans="1:17" s="48" customFormat="1" ht="54" x14ac:dyDescent="0.2">
      <c r="A1" s="47" t="s">
        <v>292</v>
      </c>
      <c r="B1" s="47" t="s">
        <v>277</v>
      </c>
      <c r="C1" s="47" t="s">
        <v>295</v>
      </c>
      <c r="D1" s="47" t="s">
        <v>278</v>
      </c>
      <c r="E1" s="47" t="s">
        <v>296</v>
      </c>
      <c r="F1" s="47" t="s">
        <v>330</v>
      </c>
      <c r="G1" s="47" t="s">
        <v>331</v>
      </c>
      <c r="H1" s="47" t="s">
        <v>332</v>
      </c>
      <c r="I1" s="47" t="s">
        <v>0</v>
      </c>
      <c r="J1" s="47" t="s">
        <v>294</v>
      </c>
      <c r="K1" s="47" t="s">
        <v>297</v>
      </c>
      <c r="L1" s="47" t="s">
        <v>344</v>
      </c>
      <c r="M1" s="47" t="s">
        <v>333</v>
      </c>
      <c r="N1" s="47" t="s">
        <v>334</v>
      </c>
    </row>
    <row r="2" spans="1:17" ht="18" x14ac:dyDescent="0.2">
      <c r="A2" s="43"/>
      <c r="M2" s="43"/>
      <c r="N2" s="50"/>
      <c r="P2" s="141" t="s">
        <v>345</v>
      </c>
      <c r="Q2" s="141"/>
    </row>
    <row r="3" spans="1:17" ht="18" x14ac:dyDescent="0.2">
      <c r="A3" s="43"/>
      <c r="M3" s="43"/>
      <c r="N3" s="50"/>
      <c r="P3" s="105" t="s">
        <v>277</v>
      </c>
      <c r="Q3" s="106"/>
    </row>
    <row r="4" spans="1:17" ht="18" x14ac:dyDescent="0.2">
      <c r="A4" s="43"/>
      <c r="M4" s="43"/>
      <c r="N4" s="50"/>
      <c r="P4" s="105" t="s">
        <v>292</v>
      </c>
      <c r="Q4" s="106"/>
    </row>
    <row r="5" spans="1:17" ht="18" x14ac:dyDescent="0.2">
      <c r="A5" s="43"/>
      <c r="M5" s="43"/>
      <c r="N5" s="50"/>
      <c r="P5" s="105" t="s">
        <v>278</v>
      </c>
      <c r="Q5" s="106"/>
    </row>
    <row r="6" spans="1:17" ht="18" x14ac:dyDescent="0.2">
      <c r="A6" s="43"/>
      <c r="M6" s="43"/>
      <c r="N6" s="50"/>
      <c r="P6" s="105" t="s">
        <v>297</v>
      </c>
      <c r="Q6" s="106"/>
    </row>
    <row r="7" spans="1:17" x14ac:dyDescent="0.2">
      <c r="A7" s="43"/>
      <c r="M7" s="43"/>
      <c r="N7" s="50"/>
    </row>
    <row r="8" spans="1:17" x14ac:dyDescent="0.2">
      <c r="A8" s="43"/>
      <c r="M8" s="43"/>
      <c r="N8" s="50"/>
    </row>
    <row r="9" spans="1:17" x14ac:dyDescent="0.2">
      <c r="A9" s="43"/>
      <c r="M9" s="43"/>
      <c r="N9" s="50"/>
    </row>
    <row r="10" spans="1:17" x14ac:dyDescent="0.2">
      <c r="A10" s="43"/>
      <c r="M10" s="43"/>
      <c r="N10" s="50"/>
    </row>
    <row r="11" spans="1:17" x14ac:dyDescent="0.2">
      <c r="A11" s="42"/>
      <c r="M11" s="42"/>
      <c r="N11" s="49"/>
    </row>
    <row r="12" spans="1:17" x14ac:dyDescent="0.2">
      <c r="A12" s="42"/>
      <c r="M12" s="42"/>
      <c r="N12" s="49"/>
    </row>
    <row r="13" spans="1:17" x14ac:dyDescent="0.2">
      <c r="A13" s="42"/>
      <c r="M13" s="42"/>
      <c r="N13" s="49"/>
    </row>
    <row r="14" spans="1:17" x14ac:dyDescent="0.2">
      <c r="A14" s="43"/>
      <c r="M14" s="43"/>
      <c r="N14" s="50"/>
    </row>
  </sheetData>
  <autoFilter ref="A1:N14"/>
  <mergeCells count="1">
    <mergeCell ref="P2:Q2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autoFill="0" autoPict="0" macro="[0]!RechercherMouvements">
                <anchor moveWithCells="1" sizeWithCells="1">
                  <from>
                    <xdr:col>15</xdr:col>
                    <xdr:colOff>0</xdr:colOff>
                    <xdr:row>8</xdr:row>
                    <xdr:rowOff>190500</xdr:rowOff>
                  </from>
                  <to>
                    <xdr:col>16</xdr:col>
                    <xdr:colOff>774700</xdr:colOff>
                    <xdr:row>10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4" r:id="rId4" name="Button 2">
              <controlPr defaultSize="0" autoFill="0" autoPict="0" macro="[0]!AfficherTousMouvements">
                <anchor moveWithCells="1" sizeWithCells="1">
                  <from>
                    <xdr:col>16</xdr:col>
                    <xdr:colOff>1333500</xdr:colOff>
                    <xdr:row>8</xdr:row>
                    <xdr:rowOff>165100</xdr:rowOff>
                  </from>
                  <to>
                    <xdr:col>18</xdr:col>
                    <xdr:colOff>444500</xdr:colOff>
                    <xdr:row>11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7" r:id="rId5" name="Button 5">
              <controlPr defaultSize="0" autoFill="0" autoPict="0" macro="[0]!OuvrirMenuGMAO">
                <anchor moveWithCells="1" sizeWithCells="1">
                  <from>
                    <xdr:col>14</xdr:col>
                    <xdr:colOff>812800</xdr:colOff>
                    <xdr:row>0</xdr:row>
                    <xdr:rowOff>101600</xdr:rowOff>
                  </from>
                  <to>
                    <xdr:col>16</xdr:col>
                    <xdr:colOff>419100</xdr:colOff>
                    <xdr:row>0</xdr:row>
                    <xdr:rowOff>647700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2" enableFormatConditionsCalculation="0"/>
  <dimension ref="A1:F360"/>
  <sheetViews>
    <sheetView showGridLines="0" zoomScale="90" zoomScaleNormal="90" workbookViewId="0">
      <pane ySplit="3" topLeftCell="A4" activePane="bottomLeft" state="frozenSplit"/>
      <selection pane="bottomLeft" activeCell="H13" sqref="H13"/>
    </sheetView>
  </sheetViews>
  <sheetFormatPr baseColWidth="10" defaultRowHeight="16" x14ac:dyDescent="0.2"/>
  <cols>
    <col min="1" max="1" width="28.83203125" style="1" customWidth="1"/>
    <col min="2" max="2" width="48.83203125" style="1" customWidth="1"/>
    <col min="3" max="3" width="22.83203125" style="9" customWidth="1"/>
    <col min="4" max="4" width="15.83203125" style="1" customWidth="1"/>
    <col min="5" max="5" width="22.83203125" style="9" customWidth="1"/>
    <col min="6" max="6" width="18.83203125" style="9" customWidth="1"/>
    <col min="7" max="16384" width="10.83203125" style="9"/>
  </cols>
  <sheetData>
    <row r="1" spans="1:6" ht="35" customHeight="1" x14ac:dyDescent="0.2">
      <c r="A1" s="142" t="s">
        <v>356</v>
      </c>
      <c r="B1" s="143"/>
      <c r="C1" s="143"/>
      <c r="D1" s="143"/>
      <c r="E1" s="143"/>
      <c r="F1" s="144"/>
    </row>
    <row r="2" spans="1:6" ht="25" customHeight="1" x14ac:dyDescent="0.2">
      <c r="A2" s="145" t="s">
        <v>357</v>
      </c>
      <c r="B2" s="146"/>
      <c r="C2" s="146"/>
      <c r="D2" s="146"/>
      <c r="E2" s="146"/>
      <c r="F2" s="147"/>
    </row>
    <row r="3" spans="1:6" s="8" customFormat="1" ht="53" customHeight="1" x14ac:dyDescent="0.2">
      <c r="A3" s="2" t="s">
        <v>0</v>
      </c>
      <c r="B3" s="2" t="s">
        <v>46</v>
      </c>
      <c r="C3" s="3" t="s">
        <v>289</v>
      </c>
      <c r="D3" s="2" t="s">
        <v>55</v>
      </c>
      <c r="E3" s="3" t="s">
        <v>290</v>
      </c>
      <c r="F3" s="3" t="s">
        <v>291</v>
      </c>
    </row>
    <row r="4" spans="1:6" ht="35" customHeight="1" x14ac:dyDescent="0.2">
      <c r="A4" s="81">
        <f ca="1">TODAY()</f>
        <v>46238</v>
      </c>
      <c r="B4" s="78" t="s">
        <v>78</v>
      </c>
      <c r="C4" s="82"/>
      <c r="D4" s="79">
        <v>14</v>
      </c>
      <c r="E4" s="82" t="str">
        <f>IF(OR(C4="",D4=""),"",C4+D4)</f>
        <v/>
      </c>
      <c r="F4" s="83" t="str">
        <f ca="1">IF(E4="","",IF(E4&lt;TODAY(),"EN RETARD",IF(E4&lt;=TODAY()+7,"À VENIR","À JOUR")))</f>
        <v/>
      </c>
    </row>
    <row r="5" spans="1:6" ht="22" customHeight="1" x14ac:dyDescent="0.2">
      <c r="A5" s="84" t="s">
        <v>57</v>
      </c>
      <c r="B5" s="92" t="s">
        <v>79</v>
      </c>
      <c r="C5" s="101"/>
      <c r="D5" s="79">
        <v>7</v>
      </c>
      <c r="E5" s="101" t="str">
        <f t="shared" ref="E5:E68" si="0">IF(OR(C5="",D5=""),"",C5+D5)</f>
        <v/>
      </c>
      <c r="F5" s="80" t="str">
        <f t="shared" ref="F5:F68" ca="1" si="1">IF(E5="","",IF(E5&lt;TODAY(),"EN RETARD",IF(E5&lt;=TODAY()+7,"À VENIR","À JOUR")))</f>
        <v/>
      </c>
    </row>
    <row r="6" spans="1:6" ht="22" customHeight="1" x14ac:dyDescent="0.2">
      <c r="A6" s="84" t="s">
        <v>58</v>
      </c>
      <c r="B6" s="92" t="s">
        <v>80</v>
      </c>
      <c r="C6" s="101"/>
      <c r="D6" s="79">
        <v>14</v>
      </c>
      <c r="E6" s="101"/>
      <c r="F6" s="80" t="str">
        <f t="shared" ca="1" si="1"/>
        <v/>
      </c>
    </row>
    <row r="7" spans="1:6" ht="22" customHeight="1" x14ac:dyDescent="0.2">
      <c r="A7" s="84" t="s">
        <v>59</v>
      </c>
      <c r="B7" s="92" t="s">
        <v>81</v>
      </c>
      <c r="C7" s="101"/>
      <c r="D7" s="79">
        <v>14</v>
      </c>
      <c r="E7" s="101"/>
      <c r="F7" s="80" t="str">
        <f t="shared" ca="1" si="1"/>
        <v/>
      </c>
    </row>
    <row r="8" spans="1:6" ht="22" customHeight="1" x14ac:dyDescent="0.2">
      <c r="A8" s="84" t="s">
        <v>60</v>
      </c>
      <c r="B8" s="92" t="s">
        <v>82</v>
      </c>
      <c r="C8" s="101"/>
      <c r="D8" s="79">
        <v>7</v>
      </c>
      <c r="E8" s="101"/>
      <c r="F8" s="80" t="str">
        <f t="shared" ca="1" si="1"/>
        <v/>
      </c>
    </row>
    <row r="9" spans="1:6" ht="22" customHeight="1" x14ac:dyDescent="0.2">
      <c r="A9" s="84" t="s">
        <v>61</v>
      </c>
      <c r="B9" s="92" t="s">
        <v>80</v>
      </c>
      <c r="C9" s="101"/>
      <c r="D9" s="79">
        <v>14</v>
      </c>
      <c r="E9" s="101"/>
      <c r="F9" s="80" t="str">
        <f t="shared" ca="1" si="1"/>
        <v/>
      </c>
    </row>
    <row r="10" spans="1:6" ht="22" customHeight="1" x14ac:dyDescent="0.2">
      <c r="A10" s="84" t="s">
        <v>62</v>
      </c>
      <c r="B10" s="92" t="s">
        <v>80</v>
      </c>
      <c r="C10" s="101"/>
      <c r="D10" s="79">
        <v>14</v>
      </c>
      <c r="E10" s="101"/>
      <c r="F10" s="80" t="str">
        <f t="shared" ca="1" si="1"/>
        <v/>
      </c>
    </row>
    <row r="11" spans="1:6" ht="22" customHeight="1" x14ac:dyDescent="0.2">
      <c r="A11" s="84" t="s">
        <v>63</v>
      </c>
      <c r="B11" s="92" t="s">
        <v>83</v>
      </c>
      <c r="C11" s="101"/>
      <c r="D11" s="79">
        <v>14</v>
      </c>
      <c r="E11" s="101"/>
      <c r="F11" s="80" t="str">
        <f t="shared" ca="1" si="1"/>
        <v/>
      </c>
    </row>
    <row r="12" spans="1:6" ht="22" customHeight="1" x14ac:dyDescent="0.2">
      <c r="A12" s="84" t="s">
        <v>64</v>
      </c>
      <c r="B12" s="92" t="s">
        <v>84</v>
      </c>
      <c r="C12" s="101"/>
      <c r="D12" s="79">
        <v>14</v>
      </c>
      <c r="E12" s="101"/>
      <c r="F12" s="80" t="str">
        <f t="shared" ca="1" si="1"/>
        <v/>
      </c>
    </row>
    <row r="13" spans="1:6" ht="22" customHeight="1" x14ac:dyDescent="0.2">
      <c r="A13" s="84" t="s">
        <v>65</v>
      </c>
      <c r="B13" s="92" t="s">
        <v>85</v>
      </c>
      <c r="C13" s="101"/>
      <c r="D13" s="79">
        <v>14</v>
      </c>
      <c r="E13" s="101"/>
      <c r="F13" s="80" t="str">
        <f t="shared" ca="1" si="1"/>
        <v/>
      </c>
    </row>
    <row r="14" spans="1:6" ht="22" customHeight="1" x14ac:dyDescent="0.2">
      <c r="A14" s="84" t="s">
        <v>66</v>
      </c>
      <c r="B14" s="92" t="s">
        <v>80</v>
      </c>
      <c r="C14" s="101"/>
      <c r="D14" s="79">
        <v>14</v>
      </c>
      <c r="E14" s="101"/>
      <c r="F14" s="80" t="str">
        <f t="shared" ca="1" si="1"/>
        <v/>
      </c>
    </row>
    <row r="15" spans="1:6" ht="22" customHeight="1" x14ac:dyDescent="0.2">
      <c r="A15" s="84" t="s">
        <v>67</v>
      </c>
      <c r="B15" s="92" t="s">
        <v>86</v>
      </c>
      <c r="C15" s="101"/>
      <c r="D15" s="79"/>
      <c r="E15" s="101"/>
      <c r="F15" s="80" t="str">
        <f t="shared" ca="1" si="1"/>
        <v/>
      </c>
    </row>
    <row r="16" spans="1:6" ht="22" customHeight="1" x14ac:dyDescent="0.2">
      <c r="A16" s="84" t="s">
        <v>68</v>
      </c>
      <c r="B16" s="92" t="s">
        <v>87</v>
      </c>
      <c r="C16" s="101"/>
      <c r="D16" s="79"/>
      <c r="E16" s="101" t="str">
        <f t="shared" si="0"/>
        <v/>
      </c>
      <c r="F16" s="80" t="str">
        <f t="shared" ca="1" si="1"/>
        <v/>
      </c>
    </row>
    <row r="17" spans="1:6" ht="22" customHeight="1" x14ac:dyDescent="0.2">
      <c r="A17" s="84" t="s">
        <v>69</v>
      </c>
      <c r="B17" s="92" t="s">
        <v>88</v>
      </c>
      <c r="C17" s="101"/>
      <c r="D17" s="79">
        <v>14</v>
      </c>
      <c r="E17" s="101" t="str">
        <f t="shared" si="0"/>
        <v/>
      </c>
      <c r="F17" s="80" t="str">
        <f t="shared" ca="1" si="1"/>
        <v/>
      </c>
    </row>
    <row r="18" spans="1:6" ht="22" customHeight="1" x14ac:dyDescent="0.2">
      <c r="A18" s="85" t="s">
        <v>70</v>
      </c>
      <c r="B18" s="92" t="s">
        <v>89</v>
      </c>
      <c r="C18" s="101"/>
      <c r="D18" s="79">
        <v>14</v>
      </c>
      <c r="E18" s="101" t="str">
        <f t="shared" si="0"/>
        <v/>
      </c>
      <c r="F18" s="80" t="str">
        <f t="shared" ca="1" si="1"/>
        <v/>
      </c>
    </row>
    <row r="19" spans="1:6" ht="22" customHeight="1" x14ac:dyDescent="0.2">
      <c r="A19" s="84" t="s">
        <v>71</v>
      </c>
      <c r="B19" s="93" t="s">
        <v>90</v>
      </c>
      <c r="C19" s="101"/>
      <c r="D19" s="79">
        <v>14</v>
      </c>
      <c r="E19" s="101" t="str">
        <f t="shared" si="0"/>
        <v/>
      </c>
      <c r="F19" s="80" t="str">
        <f t="shared" ca="1" si="1"/>
        <v/>
      </c>
    </row>
    <row r="20" spans="1:6" ht="22" customHeight="1" x14ac:dyDescent="0.2">
      <c r="A20" s="84" t="s">
        <v>72</v>
      </c>
      <c r="B20" s="93" t="s">
        <v>91</v>
      </c>
      <c r="C20" s="101"/>
      <c r="D20" s="79">
        <v>14</v>
      </c>
      <c r="E20" s="101" t="str">
        <f t="shared" si="0"/>
        <v/>
      </c>
      <c r="F20" s="80" t="str">
        <f t="shared" ca="1" si="1"/>
        <v/>
      </c>
    </row>
    <row r="21" spans="1:6" ht="22" customHeight="1" x14ac:dyDescent="0.2">
      <c r="A21" s="84" t="s">
        <v>73</v>
      </c>
      <c r="B21" s="93" t="s">
        <v>50</v>
      </c>
      <c r="C21" s="101"/>
      <c r="D21" s="79">
        <v>14</v>
      </c>
      <c r="E21" s="101" t="str">
        <f t="shared" si="0"/>
        <v/>
      </c>
      <c r="F21" s="80" t="str">
        <f t="shared" ca="1" si="1"/>
        <v/>
      </c>
    </row>
    <row r="22" spans="1:6" ht="22" customHeight="1" x14ac:dyDescent="0.2">
      <c r="A22" s="84" t="s">
        <v>74</v>
      </c>
      <c r="B22" s="93" t="s">
        <v>92</v>
      </c>
      <c r="C22" s="101"/>
      <c r="D22" s="84">
        <v>14</v>
      </c>
      <c r="E22" s="101" t="str">
        <f t="shared" si="0"/>
        <v/>
      </c>
      <c r="F22" s="80" t="str">
        <f t="shared" ca="1" si="1"/>
        <v/>
      </c>
    </row>
    <row r="23" spans="1:6" ht="22" customHeight="1" x14ac:dyDescent="0.2">
      <c r="A23" s="84" t="s">
        <v>75</v>
      </c>
      <c r="B23" s="92" t="s">
        <v>93</v>
      </c>
      <c r="C23" s="101"/>
      <c r="D23" s="79">
        <v>180</v>
      </c>
      <c r="E23" s="101" t="str">
        <f t="shared" si="0"/>
        <v/>
      </c>
      <c r="F23" s="80" t="str">
        <f t="shared" ca="1" si="1"/>
        <v/>
      </c>
    </row>
    <row r="24" spans="1:6" ht="22" customHeight="1" x14ac:dyDescent="0.2">
      <c r="A24" s="84" t="s">
        <v>76</v>
      </c>
      <c r="B24" s="92" t="s">
        <v>93</v>
      </c>
      <c r="C24" s="101"/>
      <c r="D24" s="79">
        <v>180</v>
      </c>
      <c r="E24" s="101" t="str">
        <f t="shared" si="0"/>
        <v/>
      </c>
      <c r="F24" s="80" t="str">
        <f t="shared" ca="1" si="1"/>
        <v/>
      </c>
    </row>
    <row r="25" spans="1:6" ht="22" customHeight="1" x14ac:dyDescent="0.2">
      <c r="A25" s="84" t="s">
        <v>77</v>
      </c>
      <c r="B25" s="92" t="s">
        <v>94</v>
      </c>
      <c r="C25" s="101"/>
      <c r="D25" s="79">
        <v>180</v>
      </c>
      <c r="E25" s="101" t="str">
        <f t="shared" si="0"/>
        <v/>
      </c>
      <c r="F25" s="80" t="str">
        <f t="shared" ca="1" si="1"/>
        <v/>
      </c>
    </row>
    <row r="26" spans="1:6" ht="22" customHeight="1" x14ac:dyDescent="0.2">
      <c r="A26" s="84" t="s">
        <v>95</v>
      </c>
      <c r="B26" s="94" t="s">
        <v>138</v>
      </c>
      <c r="C26" s="101"/>
      <c r="D26" s="79">
        <v>7</v>
      </c>
      <c r="E26" s="101" t="str">
        <f t="shared" si="0"/>
        <v/>
      </c>
      <c r="F26" s="80" t="str">
        <f t="shared" ca="1" si="1"/>
        <v/>
      </c>
    </row>
    <row r="27" spans="1:6" ht="22" customHeight="1" x14ac:dyDescent="0.2">
      <c r="A27" s="84" t="s">
        <v>96</v>
      </c>
      <c r="B27" s="94" t="s">
        <v>139</v>
      </c>
      <c r="C27" s="101"/>
      <c r="D27" s="79">
        <v>7</v>
      </c>
      <c r="E27" s="101" t="str">
        <f t="shared" si="0"/>
        <v/>
      </c>
      <c r="F27" s="80" t="str">
        <f t="shared" ca="1" si="1"/>
        <v/>
      </c>
    </row>
    <row r="28" spans="1:6" ht="22" customHeight="1" x14ac:dyDescent="0.2">
      <c r="A28" s="84" t="s">
        <v>97</v>
      </c>
      <c r="B28" s="94" t="s">
        <v>140</v>
      </c>
      <c r="C28" s="101"/>
      <c r="D28" s="79">
        <v>14</v>
      </c>
      <c r="E28" s="101" t="str">
        <f t="shared" si="0"/>
        <v/>
      </c>
      <c r="F28" s="80" t="str">
        <f t="shared" ca="1" si="1"/>
        <v/>
      </c>
    </row>
    <row r="29" spans="1:6" ht="22" customHeight="1" x14ac:dyDescent="0.2">
      <c r="A29" s="84" t="s">
        <v>98</v>
      </c>
      <c r="B29" s="94" t="s">
        <v>141</v>
      </c>
      <c r="C29" s="101"/>
      <c r="D29" s="86">
        <v>14</v>
      </c>
      <c r="E29" s="101" t="str">
        <f t="shared" si="0"/>
        <v/>
      </c>
      <c r="F29" s="80" t="str">
        <f t="shared" ca="1" si="1"/>
        <v/>
      </c>
    </row>
    <row r="30" spans="1:6" ht="22" customHeight="1" x14ac:dyDescent="0.2">
      <c r="A30" s="84" t="s">
        <v>99</v>
      </c>
      <c r="B30" s="94" t="s">
        <v>141</v>
      </c>
      <c r="C30" s="101"/>
      <c r="D30" s="86">
        <v>14</v>
      </c>
      <c r="E30" s="101" t="str">
        <f t="shared" si="0"/>
        <v/>
      </c>
      <c r="F30" s="80" t="str">
        <f t="shared" ca="1" si="1"/>
        <v/>
      </c>
    </row>
    <row r="31" spans="1:6" ht="22" customHeight="1" x14ac:dyDescent="0.2">
      <c r="A31" s="85" t="s">
        <v>100</v>
      </c>
      <c r="B31" s="95" t="s">
        <v>142</v>
      </c>
      <c r="C31" s="101"/>
      <c r="D31" s="87">
        <v>14</v>
      </c>
      <c r="E31" s="101" t="str">
        <f t="shared" si="0"/>
        <v/>
      </c>
      <c r="F31" s="80" t="str">
        <f t="shared" ca="1" si="1"/>
        <v/>
      </c>
    </row>
    <row r="32" spans="1:6" ht="22" customHeight="1" x14ac:dyDescent="0.2">
      <c r="A32" s="85" t="s">
        <v>101</v>
      </c>
      <c r="B32" s="95" t="s">
        <v>143</v>
      </c>
      <c r="C32" s="101"/>
      <c r="D32" s="87">
        <v>14</v>
      </c>
      <c r="E32" s="101" t="str">
        <f t="shared" si="0"/>
        <v/>
      </c>
      <c r="F32" s="80" t="str">
        <f t="shared" ca="1" si="1"/>
        <v/>
      </c>
    </row>
    <row r="33" spans="1:6" ht="22" customHeight="1" x14ac:dyDescent="0.2">
      <c r="A33" s="84" t="s">
        <v>102</v>
      </c>
      <c r="B33" s="94" t="s">
        <v>141</v>
      </c>
      <c r="C33" s="101"/>
      <c r="D33" s="79">
        <v>14</v>
      </c>
      <c r="E33" s="101" t="str">
        <f t="shared" si="0"/>
        <v/>
      </c>
      <c r="F33" s="80" t="str">
        <f t="shared" ca="1" si="1"/>
        <v/>
      </c>
    </row>
    <row r="34" spans="1:6" ht="22" customHeight="1" x14ac:dyDescent="0.2">
      <c r="A34" s="84" t="s">
        <v>103</v>
      </c>
      <c r="B34" s="94" t="s">
        <v>141</v>
      </c>
      <c r="C34" s="101"/>
      <c r="D34" s="79">
        <v>14</v>
      </c>
      <c r="E34" s="101" t="str">
        <f t="shared" si="0"/>
        <v/>
      </c>
      <c r="F34" s="80" t="str">
        <f t="shared" ca="1" si="1"/>
        <v/>
      </c>
    </row>
    <row r="35" spans="1:6" ht="22" customHeight="1" x14ac:dyDescent="0.2">
      <c r="A35" s="84" t="s">
        <v>104</v>
      </c>
      <c r="B35" s="94" t="s">
        <v>141</v>
      </c>
      <c r="C35" s="101"/>
      <c r="D35" s="79">
        <v>14</v>
      </c>
      <c r="E35" s="101" t="str">
        <f t="shared" si="0"/>
        <v/>
      </c>
      <c r="F35" s="80" t="str">
        <f t="shared" ca="1" si="1"/>
        <v/>
      </c>
    </row>
    <row r="36" spans="1:6" ht="22" customHeight="1" x14ac:dyDescent="0.2">
      <c r="A36" s="84" t="s">
        <v>105</v>
      </c>
      <c r="B36" s="96" t="s">
        <v>144</v>
      </c>
      <c r="C36" s="101"/>
      <c r="D36" s="88"/>
      <c r="E36" s="101" t="str">
        <f t="shared" si="0"/>
        <v/>
      </c>
      <c r="F36" s="80" t="str">
        <f t="shared" ca="1" si="1"/>
        <v/>
      </c>
    </row>
    <row r="37" spans="1:6" ht="22" customHeight="1" x14ac:dyDescent="0.2">
      <c r="A37" s="85" t="s">
        <v>106</v>
      </c>
      <c r="B37" s="97" t="s">
        <v>145</v>
      </c>
      <c r="C37" s="101"/>
      <c r="D37" s="86">
        <v>14</v>
      </c>
      <c r="E37" s="101"/>
      <c r="F37" s="80" t="str">
        <f t="shared" ca="1" si="1"/>
        <v/>
      </c>
    </row>
    <row r="38" spans="1:6" ht="22" customHeight="1" x14ac:dyDescent="0.2">
      <c r="A38" s="84" t="s">
        <v>107</v>
      </c>
      <c r="B38" s="98" t="s">
        <v>144</v>
      </c>
      <c r="C38" s="101"/>
      <c r="D38" s="86">
        <v>14</v>
      </c>
      <c r="E38" s="101"/>
      <c r="F38" s="80" t="str">
        <f t="shared" ca="1" si="1"/>
        <v/>
      </c>
    </row>
    <row r="39" spans="1:6" ht="22" customHeight="1" x14ac:dyDescent="0.2">
      <c r="A39" s="84" t="s">
        <v>108</v>
      </c>
      <c r="B39" s="98" t="s">
        <v>144</v>
      </c>
      <c r="C39" s="101"/>
      <c r="D39" s="86">
        <v>14</v>
      </c>
      <c r="E39" s="101"/>
      <c r="F39" s="80" t="str">
        <f t="shared" ca="1" si="1"/>
        <v/>
      </c>
    </row>
    <row r="40" spans="1:6" ht="22" customHeight="1" x14ac:dyDescent="0.2">
      <c r="A40" s="85" t="s">
        <v>109</v>
      </c>
      <c r="B40" s="94" t="s">
        <v>146</v>
      </c>
      <c r="C40" s="101"/>
      <c r="D40" s="86">
        <v>7</v>
      </c>
      <c r="E40" s="101"/>
      <c r="F40" s="80" t="str">
        <f t="shared" ca="1" si="1"/>
        <v/>
      </c>
    </row>
    <row r="41" spans="1:6" ht="22" customHeight="1" x14ac:dyDescent="0.2">
      <c r="A41" s="85" t="s">
        <v>110</v>
      </c>
      <c r="B41" s="98" t="s">
        <v>145</v>
      </c>
      <c r="C41" s="101"/>
      <c r="D41" s="86">
        <v>14</v>
      </c>
      <c r="E41" s="101"/>
      <c r="F41" s="80" t="str">
        <f t="shared" ca="1" si="1"/>
        <v/>
      </c>
    </row>
    <row r="42" spans="1:6" ht="22" customHeight="1" x14ac:dyDescent="0.2">
      <c r="A42" s="84" t="s">
        <v>111</v>
      </c>
      <c r="B42" s="94" t="s">
        <v>141</v>
      </c>
      <c r="C42" s="101"/>
      <c r="D42" s="79">
        <v>14</v>
      </c>
      <c r="E42" s="101"/>
      <c r="F42" s="80" t="str">
        <f t="shared" ca="1" si="1"/>
        <v/>
      </c>
    </row>
    <row r="43" spans="1:6" ht="22" customHeight="1" x14ac:dyDescent="0.2">
      <c r="A43" s="85" t="s">
        <v>112</v>
      </c>
      <c r="B43" s="94" t="s">
        <v>147</v>
      </c>
      <c r="C43" s="101"/>
      <c r="D43" s="79">
        <v>14</v>
      </c>
      <c r="E43" s="101"/>
      <c r="F43" s="80" t="str">
        <f t="shared" ca="1" si="1"/>
        <v/>
      </c>
    </row>
    <row r="44" spans="1:6" ht="22" customHeight="1" x14ac:dyDescent="0.2">
      <c r="A44" s="85" t="s">
        <v>113</v>
      </c>
      <c r="B44" s="95" t="s">
        <v>78</v>
      </c>
      <c r="C44" s="101"/>
      <c r="D44" s="87">
        <v>14</v>
      </c>
      <c r="E44" s="101"/>
      <c r="F44" s="80" t="str">
        <f t="shared" ca="1" si="1"/>
        <v/>
      </c>
    </row>
    <row r="45" spans="1:6" ht="22" customHeight="1" x14ac:dyDescent="0.2">
      <c r="A45" s="85" t="s">
        <v>114</v>
      </c>
      <c r="B45" s="95" t="s">
        <v>78</v>
      </c>
      <c r="C45" s="101"/>
      <c r="D45" s="87">
        <v>14</v>
      </c>
      <c r="E45" s="101"/>
      <c r="F45" s="80" t="str">
        <f t="shared" ca="1" si="1"/>
        <v/>
      </c>
    </row>
    <row r="46" spans="1:6" ht="22" customHeight="1" x14ac:dyDescent="0.2">
      <c r="A46" s="85" t="s">
        <v>115</v>
      </c>
      <c r="B46" s="95" t="s">
        <v>78</v>
      </c>
      <c r="C46" s="101"/>
      <c r="D46" s="87">
        <v>14</v>
      </c>
      <c r="E46" s="101"/>
      <c r="F46" s="80" t="str">
        <f t="shared" ca="1" si="1"/>
        <v/>
      </c>
    </row>
    <row r="47" spans="1:6" ht="22" customHeight="1" x14ac:dyDescent="0.2">
      <c r="A47" s="85" t="s">
        <v>116</v>
      </c>
      <c r="B47" s="95" t="s">
        <v>148</v>
      </c>
      <c r="C47" s="101"/>
      <c r="D47" s="87">
        <v>14</v>
      </c>
      <c r="E47" s="101" t="str">
        <f t="shared" si="0"/>
        <v/>
      </c>
      <c r="F47" s="80" t="str">
        <f t="shared" ca="1" si="1"/>
        <v/>
      </c>
    </row>
    <row r="48" spans="1:6" ht="22" customHeight="1" x14ac:dyDescent="0.2">
      <c r="A48" s="85" t="s">
        <v>117</v>
      </c>
      <c r="B48" s="95" t="s">
        <v>148</v>
      </c>
      <c r="C48" s="101"/>
      <c r="D48" s="87">
        <v>14</v>
      </c>
      <c r="E48" s="101" t="str">
        <f t="shared" si="0"/>
        <v/>
      </c>
      <c r="F48" s="80" t="str">
        <f t="shared" ca="1" si="1"/>
        <v/>
      </c>
    </row>
    <row r="49" spans="1:6" ht="22" customHeight="1" x14ac:dyDescent="0.2">
      <c r="A49" s="85" t="s">
        <v>118</v>
      </c>
      <c r="B49" s="95" t="s">
        <v>148</v>
      </c>
      <c r="C49" s="101"/>
      <c r="D49" s="87">
        <v>14</v>
      </c>
      <c r="E49" s="101" t="str">
        <f t="shared" si="0"/>
        <v/>
      </c>
      <c r="F49" s="80" t="str">
        <f t="shared" ca="1" si="1"/>
        <v/>
      </c>
    </row>
    <row r="50" spans="1:6" ht="22" customHeight="1" x14ac:dyDescent="0.2">
      <c r="A50" s="85" t="s">
        <v>119</v>
      </c>
      <c r="B50" s="95" t="s">
        <v>148</v>
      </c>
      <c r="C50" s="101"/>
      <c r="D50" s="87">
        <v>14</v>
      </c>
      <c r="E50" s="101" t="str">
        <f t="shared" si="0"/>
        <v/>
      </c>
      <c r="F50" s="80" t="str">
        <f t="shared" ca="1" si="1"/>
        <v/>
      </c>
    </row>
    <row r="51" spans="1:6" ht="22" customHeight="1" x14ac:dyDescent="0.2">
      <c r="A51" s="85" t="s">
        <v>120</v>
      </c>
      <c r="B51" s="95" t="s">
        <v>149</v>
      </c>
      <c r="C51" s="101"/>
      <c r="D51" s="87">
        <v>14</v>
      </c>
      <c r="E51" s="101" t="str">
        <f t="shared" si="0"/>
        <v/>
      </c>
      <c r="F51" s="80" t="str">
        <f t="shared" ca="1" si="1"/>
        <v/>
      </c>
    </row>
    <row r="52" spans="1:6" ht="22" customHeight="1" x14ac:dyDescent="0.2">
      <c r="A52" s="85" t="s">
        <v>121</v>
      </c>
      <c r="B52" s="95" t="s">
        <v>80</v>
      </c>
      <c r="C52" s="101"/>
      <c r="D52" s="87">
        <v>14</v>
      </c>
      <c r="E52" s="101" t="str">
        <f t="shared" si="0"/>
        <v/>
      </c>
      <c r="F52" s="80" t="str">
        <f t="shared" ca="1" si="1"/>
        <v/>
      </c>
    </row>
    <row r="53" spans="1:6" ht="22" customHeight="1" x14ac:dyDescent="0.2">
      <c r="A53" s="85" t="s">
        <v>122</v>
      </c>
      <c r="B53" s="95" t="s">
        <v>150</v>
      </c>
      <c r="C53" s="101"/>
      <c r="D53" s="87">
        <v>14</v>
      </c>
      <c r="E53" s="101" t="str">
        <f t="shared" si="0"/>
        <v/>
      </c>
      <c r="F53" s="80" t="str">
        <f t="shared" ca="1" si="1"/>
        <v/>
      </c>
    </row>
    <row r="54" spans="1:6" ht="22" customHeight="1" x14ac:dyDescent="0.2">
      <c r="A54" s="85" t="s">
        <v>123</v>
      </c>
      <c r="B54" s="94" t="s">
        <v>151</v>
      </c>
      <c r="C54" s="101"/>
      <c r="D54" s="79">
        <v>7</v>
      </c>
      <c r="E54" s="101" t="str">
        <f t="shared" si="0"/>
        <v/>
      </c>
      <c r="F54" s="80" t="str">
        <f t="shared" ca="1" si="1"/>
        <v/>
      </c>
    </row>
    <row r="55" spans="1:6" ht="22" customHeight="1" x14ac:dyDescent="0.2">
      <c r="A55" s="85" t="s">
        <v>124</v>
      </c>
      <c r="B55" s="94" t="s">
        <v>152</v>
      </c>
      <c r="C55" s="101"/>
      <c r="D55" s="79">
        <v>7</v>
      </c>
      <c r="E55" s="101" t="str">
        <f t="shared" si="0"/>
        <v/>
      </c>
      <c r="F55" s="80" t="str">
        <f t="shared" ca="1" si="1"/>
        <v/>
      </c>
    </row>
    <row r="56" spans="1:6" ht="22" customHeight="1" x14ac:dyDescent="0.2">
      <c r="A56" s="85" t="s">
        <v>125</v>
      </c>
      <c r="B56" s="94" t="s">
        <v>153</v>
      </c>
      <c r="C56" s="101"/>
      <c r="D56" s="79">
        <v>7</v>
      </c>
      <c r="E56" s="101" t="str">
        <f t="shared" si="0"/>
        <v/>
      </c>
      <c r="F56" s="80" t="str">
        <f t="shared" ca="1" si="1"/>
        <v/>
      </c>
    </row>
    <row r="57" spans="1:6" ht="22" customHeight="1" x14ac:dyDescent="0.2">
      <c r="A57" s="85" t="s">
        <v>126</v>
      </c>
      <c r="B57" s="94" t="s">
        <v>154</v>
      </c>
      <c r="C57" s="101"/>
      <c r="D57" s="79">
        <v>14</v>
      </c>
      <c r="E57" s="101" t="str">
        <f t="shared" si="0"/>
        <v/>
      </c>
      <c r="F57" s="80" t="str">
        <f t="shared" ca="1" si="1"/>
        <v/>
      </c>
    </row>
    <row r="58" spans="1:6" ht="22" customHeight="1" x14ac:dyDescent="0.2">
      <c r="A58" s="85" t="s">
        <v>127</v>
      </c>
      <c r="B58" s="94" t="s">
        <v>155</v>
      </c>
      <c r="C58" s="101"/>
      <c r="D58" s="79">
        <v>7</v>
      </c>
      <c r="E58" s="101" t="str">
        <f t="shared" si="0"/>
        <v/>
      </c>
      <c r="F58" s="80" t="str">
        <f t="shared" ca="1" si="1"/>
        <v/>
      </c>
    </row>
    <row r="59" spans="1:6" ht="22" customHeight="1" x14ac:dyDescent="0.2">
      <c r="A59" s="85" t="s">
        <v>128</v>
      </c>
      <c r="B59" s="94" t="s">
        <v>149</v>
      </c>
      <c r="C59" s="101"/>
      <c r="D59" s="79">
        <v>14</v>
      </c>
      <c r="E59" s="101" t="str">
        <f t="shared" si="0"/>
        <v/>
      </c>
      <c r="F59" s="80" t="str">
        <f t="shared" ca="1" si="1"/>
        <v/>
      </c>
    </row>
    <row r="60" spans="1:6" ht="22" customHeight="1" x14ac:dyDescent="0.2">
      <c r="A60" s="85" t="s">
        <v>129</v>
      </c>
      <c r="B60" s="94" t="s">
        <v>154</v>
      </c>
      <c r="C60" s="101"/>
      <c r="D60" s="79">
        <v>14</v>
      </c>
      <c r="E60" s="101" t="str">
        <f t="shared" si="0"/>
        <v/>
      </c>
      <c r="F60" s="80" t="str">
        <f t="shared" ca="1" si="1"/>
        <v/>
      </c>
    </row>
    <row r="61" spans="1:6" ht="22" customHeight="1" x14ac:dyDescent="0.2">
      <c r="A61" s="85" t="s">
        <v>130</v>
      </c>
      <c r="B61" s="94" t="s">
        <v>156</v>
      </c>
      <c r="C61" s="101"/>
      <c r="D61" s="79">
        <v>7</v>
      </c>
      <c r="E61" s="101" t="str">
        <f t="shared" si="0"/>
        <v/>
      </c>
      <c r="F61" s="80" t="str">
        <f t="shared" ca="1" si="1"/>
        <v/>
      </c>
    </row>
    <row r="62" spans="1:6" ht="22" customHeight="1" x14ac:dyDescent="0.2">
      <c r="A62" s="85" t="s">
        <v>131</v>
      </c>
      <c r="B62" s="94" t="s">
        <v>157</v>
      </c>
      <c r="C62" s="101"/>
      <c r="D62" s="79">
        <v>7</v>
      </c>
      <c r="E62" s="101" t="str">
        <f t="shared" si="0"/>
        <v/>
      </c>
      <c r="F62" s="80" t="str">
        <f t="shared" ca="1" si="1"/>
        <v/>
      </c>
    </row>
    <row r="63" spans="1:6" ht="22" customHeight="1" x14ac:dyDescent="0.2">
      <c r="A63" s="85" t="s">
        <v>132</v>
      </c>
      <c r="B63" s="95" t="s">
        <v>158</v>
      </c>
      <c r="C63" s="101"/>
      <c r="D63" s="87">
        <v>7</v>
      </c>
      <c r="E63" s="101" t="str">
        <f t="shared" si="0"/>
        <v/>
      </c>
      <c r="F63" s="80" t="str">
        <f t="shared" ca="1" si="1"/>
        <v/>
      </c>
    </row>
    <row r="64" spans="1:6" ht="22" customHeight="1" x14ac:dyDescent="0.2">
      <c r="A64" s="85" t="s">
        <v>133</v>
      </c>
      <c r="B64" s="94" t="s">
        <v>159</v>
      </c>
      <c r="C64" s="101"/>
      <c r="D64" s="79">
        <v>180</v>
      </c>
      <c r="E64" s="101" t="str">
        <f t="shared" si="0"/>
        <v/>
      </c>
      <c r="F64" s="80" t="str">
        <f t="shared" ca="1" si="1"/>
        <v/>
      </c>
    </row>
    <row r="65" spans="1:6" ht="22" customHeight="1" x14ac:dyDescent="0.2">
      <c r="A65" s="85" t="s">
        <v>134</v>
      </c>
      <c r="B65" s="94" t="s">
        <v>160</v>
      </c>
      <c r="C65" s="101"/>
      <c r="D65" s="79">
        <v>180</v>
      </c>
      <c r="E65" s="101" t="str">
        <f t="shared" si="0"/>
        <v/>
      </c>
      <c r="F65" s="80" t="str">
        <f t="shared" ca="1" si="1"/>
        <v/>
      </c>
    </row>
    <row r="66" spans="1:6" ht="22" customHeight="1" x14ac:dyDescent="0.2">
      <c r="A66" s="85" t="s">
        <v>135</v>
      </c>
      <c r="B66" s="94" t="s">
        <v>155</v>
      </c>
      <c r="C66" s="101"/>
      <c r="D66" s="79">
        <v>7</v>
      </c>
      <c r="E66" s="101" t="str">
        <f t="shared" si="0"/>
        <v/>
      </c>
      <c r="F66" s="80" t="str">
        <f t="shared" ca="1" si="1"/>
        <v/>
      </c>
    </row>
    <row r="67" spans="1:6" ht="22" customHeight="1" x14ac:dyDescent="0.2">
      <c r="A67" s="85" t="s">
        <v>136</v>
      </c>
      <c r="B67" s="94" t="s">
        <v>149</v>
      </c>
      <c r="C67" s="101"/>
      <c r="D67" s="79">
        <v>30</v>
      </c>
      <c r="E67" s="101" t="str">
        <f t="shared" si="0"/>
        <v/>
      </c>
      <c r="F67" s="80" t="str">
        <f t="shared" ca="1" si="1"/>
        <v/>
      </c>
    </row>
    <row r="68" spans="1:6" ht="22" customHeight="1" x14ac:dyDescent="0.2">
      <c r="A68" s="85" t="s">
        <v>137</v>
      </c>
      <c r="B68" s="94" t="s">
        <v>161</v>
      </c>
      <c r="C68" s="101"/>
      <c r="D68" s="79">
        <v>180</v>
      </c>
      <c r="E68" s="101" t="str">
        <f t="shared" si="0"/>
        <v/>
      </c>
      <c r="F68" s="80" t="str">
        <f t="shared" ca="1" si="1"/>
        <v/>
      </c>
    </row>
    <row r="69" spans="1:6" ht="22" customHeight="1" x14ac:dyDescent="0.2">
      <c r="A69" s="85" t="s">
        <v>162</v>
      </c>
      <c r="B69" s="94" t="s">
        <v>196</v>
      </c>
      <c r="C69" s="101"/>
      <c r="D69" s="79">
        <v>14</v>
      </c>
      <c r="E69" s="101" t="str">
        <f t="shared" ref="E69:E132" si="2">IF(OR(C69="",D69=""),"",C69+D69)</f>
        <v/>
      </c>
      <c r="F69" s="80" t="str">
        <f t="shared" ref="F69:F132" ca="1" si="3">IF(E69="","",IF(E69&lt;TODAY(),"EN RETARD",IF(E69&lt;=TODAY()+7,"À VENIR","À JOUR")))</f>
        <v/>
      </c>
    </row>
    <row r="70" spans="1:6" ht="22" customHeight="1" x14ac:dyDescent="0.2">
      <c r="A70" s="85" t="s">
        <v>163</v>
      </c>
      <c r="B70" s="94" t="s">
        <v>196</v>
      </c>
      <c r="C70" s="101"/>
      <c r="D70" s="79">
        <v>14</v>
      </c>
      <c r="E70" s="101" t="str">
        <f t="shared" si="2"/>
        <v/>
      </c>
      <c r="F70" s="80" t="str">
        <f t="shared" ca="1" si="3"/>
        <v/>
      </c>
    </row>
    <row r="71" spans="1:6" ht="22" customHeight="1" x14ac:dyDescent="0.2">
      <c r="A71" s="85" t="s">
        <v>164</v>
      </c>
      <c r="B71" s="94" t="s">
        <v>197</v>
      </c>
      <c r="C71" s="101"/>
      <c r="D71" s="79">
        <v>14</v>
      </c>
      <c r="E71" s="101" t="str">
        <f t="shared" si="2"/>
        <v/>
      </c>
      <c r="F71" s="80" t="str">
        <f t="shared" ca="1" si="3"/>
        <v/>
      </c>
    </row>
    <row r="72" spans="1:6" ht="22" customHeight="1" x14ac:dyDescent="0.2">
      <c r="A72" s="85" t="s">
        <v>165</v>
      </c>
      <c r="B72" s="94" t="s">
        <v>197</v>
      </c>
      <c r="C72" s="101"/>
      <c r="D72" s="79">
        <v>14</v>
      </c>
      <c r="E72" s="101" t="str">
        <f t="shared" si="2"/>
        <v/>
      </c>
      <c r="F72" s="80" t="str">
        <f t="shared" ca="1" si="3"/>
        <v/>
      </c>
    </row>
    <row r="73" spans="1:6" ht="22" customHeight="1" x14ac:dyDescent="0.2">
      <c r="A73" s="85" t="s">
        <v>166</v>
      </c>
      <c r="B73" s="94" t="s">
        <v>198</v>
      </c>
      <c r="C73" s="101"/>
      <c r="D73" s="79">
        <v>14</v>
      </c>
      <c r="E73" s="101" t="str">
        <f t="shared" si="2"/>
        <v/>
      </c>
      <c r="F73" s="80" t="str">
        <f t="shared" ca="1" si="3"/>
        <v/>
      </c>
    </row>
    <row r="74" spans="1:6" ht="22" customHeight="1" x14ac:dyDescent="0.2">
      <c r="A74" s="85" t="s">
        <v>167</v>
      </c>
      <c r="B74" s="95" t="s">
        <v>199</v>
      </c>
      <c r="C74" s="101"/>
      <c r="D74" s="79">
        <v>14</v>
      </c>
      <c r="E74" s="101" t="str">
        <f t="shared" si="2"/>
        <v/>
      </c>
      <c r="F74" s="80" t="str">
        <f t="shared" ca="1" si="3"/>
        <v/>
      </c>
    </row>
    <row r="75" spans="1:6" ht="22" customHeight="1" x14ac:dyDescent="0.2">
      <c r="A75" s="85" t="s">
        <v>168</v>
      </c>
      <c r="B75" s="94" t="s">
        <v>197</v>
      </c>
      <c r="C75" s="101"/>
      <c r="D75" s="79">
        <v>14</v>
      </c>
      <c r="E75" s="101" t="str">
        <f t="shared" si="2"/>
        <v/>
      </c>
      <c r="F75" s="80" t="str">
        <f t="shared" ca="1" si="3"/>
        <v/>
      </c>
    </row>
    <row r="76" spans="1:6" ht="22" customHeight="1" x14ac:dyDescent="0.2">
      <c r="A76" s="85" t="s">
        <v>169</v>
      </c>
      <c r="B76" s="94" t="s">
        <v>200</v>
      </c>
      <c r="C76" s="101"/>
      <c r="D76" s="79">
        <v>14</v>
      </c>
      <c r="E76" s="101" t="str">
        <f t="shared" si="2"/>
        <v/>
      </c>
      <c r="F76" s="80" t="str">
        <f t="shared" ca="1" si="3"/>
        <v/>
      </c>
    </row>
    <row r="77" spans="1:6" ht="22" customHeight="1" x14ac:dyDescent="0.2">
      <c r="A77" s="85" t="s">
        <v>170</v>
      </c>
      <c r="B77" s="94" t="s">
        <v>201</v>
      </c>
      <c r="C77" s="101"/>
      <c r="D77" s="79">
        <v>14</v>
      </c>
      <c r="E77" s="101" t="str">
        <f t="shared" si="2"/>
        <v/>
      </c>
      <c r="F77" s="80" t="str">
        <f t="shared" ca="1" si="3"/>
        <v/>
      </c>
    </row>
    <row r="78" spans="1:6" ht="22" customHeight="1" x14ac:dyDescent="0.2">
      <c r="A78" s="85" t="s">
        <v>171</v>
      </c>
      <c r="B78" s="94" t="s">
        <v>197</v>
      </c>
      <c r="C78" s="101"/>
      <c r="D78" s="79">
        <v>14</v>
      </c>
      <c r="E78" s="101" t="str">
        <f t="shared" si="2"/>
        <v/>
      </c>
      <c r="F78" s="80" t="str">
        <f t="shared" ca="1" si="3"/>
        <v/>
      </c>
    </row>
    <row r="79" spans="1:6" ht="22" customHeight="1" x14ac:dyDescent="0.2">
      <c r="A79" s="85" t="s">
        <v>172</v>
      </c>
      <c r="B79" s="95" t="s">
        <v>202</v>
      </c>
      <c r="C79" s="101"/>
      <c r="D79" s="87">
        <v>7</v>
      </c>
      <c r="E79" s="101" t="str">
        <f t="shared" si="2"/>
        <v/>
      </c>
      <c r="F79" s="80" t="str">
        <f t="shared" ca="1" si="3"/>
        <v/>
      </c>
    </row>
    <row r="80" spans="1:6" ht="22" customHeight="1" x14ac:dyDescent="0.2">
      <c r="A80" s="85" t="s">
        <v>173</v>
      </c>
      <c r="B80" s="95" t="s">
        <v>203</v>
      </c>
      <c r="C80" s="101"/>
      <c r="D80" s="87">
        <v>7</v>
      </c>
      <c r="E80" s="101" t="str">
        <f t="shared" si="2"/>
        <v/>
      </c>
      <c r="F80" s="80" t="str">
        <f t="shared" ca="1" si="3"/>
        <v/>
      </c>
    </row>
    <row r="81" spans="1:6" ht="22" customHeight="1" x14ac:dyDescent="0.2">
      <c r="A81" s="85" t="s">
        <v>174</v>
      </c>
      <c r="B81" s="95" t="s">
        <v>204</v>
      </c>
      <c r="C81" s="101"/>
      <c r="D81" s="87">
        <v>7</v>
      </c>
      <c r="E81" s="101" t="str">
        <f t="shared" si="2"/>
        <v/>
      </c>
      <c r="F81" s="80" t="str">
        <f t="shared" ca="1" si="3"/>
        <v/>
      </c>
    </row>
    <row r="82" spans="1:6" ht="22" customHeight="1" x14ac:dyDescent="0.2">
      <c r="A82" s="85" t="s">
        <v>175</v>
      </c>
      <c r="B82" s="95" t="s">
        <v>205</v>
      </c>
      <c r="C82" s="101"/>
      <c r="D82" s="87">
        <v>7</v>
      </c>
      <c r="E82" s="101" t="str">
        <f t="shared" si="2"/>
        <v/>
      </c>
      <c r="F82" s="80" t="str">
        <f t="shared" ca="1" si="3"/>
        <v/>
      </c>
    </row>
    <row r="83" spans="1:6" ht="22" customHeight="1" x14ac:dyDescent="0.2">
      <c r="A83" s="85" t="s">
        <v>176</v>
      </c>
      <c r="B83" s="99" t="s">
        <v>206</v>
      </c>
      <c r="C83" s="101"/>
      <c r="D83" s="89">
        <v>30</v>
      </c>
      <c r="E83" s="101" t="str">
        <f t="shared" si="2"/>
        <v/>
      </c>
      <c r="F83" s="80" t="str">
        <f t="shared" ca="1" si="3"/>
        <v/>
      </c>
    </row>
    <row r="84" spans="1:6" ht="22" customHeight="1" x14ac:dyDescent="0.2">
      <c r="A84" s="85" t="s">
        <v>177</v>
      </c>
      <c r="B84" s="99" t="s">
        <v>206</v>
      </c>
      <c r="C84" s="101"/>
      <c r="D84" s="89">
        <v>30</v>
      </c>
      <c r="E84" s="101" t="str">
        <f t="shared" si="2"/>
        <v/>
      </c>
      <c r="F84" s="80" t="str">
        <f t="shared" ca="1" si="3"/>
        <v/>
      </c>
    </row>
    <row r="85" spans="1:6" ht="22" customHeight="1" x14ac:dyDescent="0.2">
      <c r="A85" s="85" t="s">
        <v>178</v>
      </c>
      <c r="B85" s="99" t="s">
        <v>206</v>
      </c>
      <c r="C85" s="101"/>
      <c r="D85" s="89">
        <v>30</v>
      </c>
      <c r="E85" s="101" t="str">
        <f t="shared" si="2"/>
        <v/>
      </c>
      <c r="F85" s="80" t="str">
        <f t="shared" ca="1" si="3"/>
        <v/>
      </c>
    </row>
    <row r="86" spans="1:6" ht="22" customHeight="1" x14ac:dyDescent="0.2">
      <c r="A86" s="85" t="s">
        <v>179</v>
      </c>
      <c r="B86" s="99" t="s">
        <v>207</v>
      </c>
      <c r="C86" s="101"/>
      <c r="D86" s="89">
        <v>7</v>
      </c>
      <c r="E86" s="101" t="str">
        <f t="shared" si="2"/>
        <v/>
      </c>
      <c r="F86" s="80" t="str">
        <f t="shared" ca="1" si="3"/>
        <v/>
      </c>
    </row>
    <row r="87" spans="1:6" ht="22" customHeight="1" x14ac:dyDescent="0.2">
      <c r="A87" s="85" t="s">
        <v>180</v>
      </c>
      <c r="B87" s="99" t="s">
        <v>208</v>
      </c>
      <c r="C87" s="101"/>
      <c r="D87" s="89">
        <v>7</v>
      </c>
      <c r="E87" s="101" t="str">
        <f t="shared" si="2"/>
        <v/>
      </c>
      <c r="F87" s="80" t="str">
        <f t="shared" ca="1" si="3"/>
        <v/>
      </c>
    </row>
    <row r="88" spans="1:6" ht="22" customHeight="1" x14ac:dyDescent="0.2">
      <c r="A88" s="85" t="s">
        <v>181</v>
      </c>
      <c r="B88" s="99" t="s">
        <v>209</v>
      </c>
      <c r="C88" s="101"/>
      <c r="D88" s="89">
        <v>7</v>
      </c>
      <c r="E88" s="101" t="str">
        <f t="shared" si="2"/>
        <v/>
      </c>
      <c r="F88" s="80" t="str">
        <f t="shared" ca="1" si="3"/>
        <v/>
      </c>
    </row>
    <row r="89" spans="1:6" ht="22" customHeight="1" x14ac:dyDescent="0.2">
      <c r="A89" s="85" t="s">
        <v>182</v>
      </c>
      <c r="B89" s="99" t="s">
        <v>210</v>
      </c>
      <c r="C89" s="101"/>
      <c r="D89" s="89">
        <v>30</v>
      </c>
      <c r="E89" s="101" t="str">
        <f t="shared" si="2"/>
        <v/>
      </c>
      <c r="F89" s="80" t="str">
        <f t="shared" ca="1" si="3"/>
        <v/>
      </c>
    </row>
    <row r="90" spans="1:6" ht="22" customHeight="1" x14ac:dyDescent="0.2">
      <c r="A90" s="85" t="s">
        <v>183</v>
      </c>
      <c r="B90" s="99" t="s">
        <v>210</v>
      </c>
      <c r="C90" s="101"/>
      <c r="D90" s="89">
        <v>30</v>
      </c>
      <c r="E90" s="101" t="str">
        <f t="shared" si="2"/>
        <v/>
      </c>
      <c r="F90" s="80" t="str">
        <f t="shared" ca="1" si="3"/>
        <v/>
      </c>
    </row>
    <row r="91" spans="1:6" ht="22" customHeight="1" x14ac:dyDescent="0.2">
      <c r="A91" s="85" t="s">
        <v>184</v>
      </c>
      <c r="B91" s="95" t="s">
        <v>199</v>
      </c>
      <c r="C91" s="101"/>
      <c r="D91" s="89">
        <v>30</v>
      </c>
      <c r="E91" s="101" t="str">
        <f t="shared" si="2"/>
        <v/>
      </c>
      <c r="F91" s="80" t="str">
        <f t="shared" ca="1" si="3"/>
        <v/>
      </c>
    </row>
    <row r="92" spans="1:6" ht="22" customHeight="1" x14ac:dyDescent="0.2">
      <c r="A92" s="85" t="s">
        <v>185</v>
      </c>
      <c r="B92" s="95" t="s">
        <v>199</v>
      </c>
      <c r="C92" s="101"/>
      <c r="D92" s="89">
        <v>30</v>
      </c>
      <c r="E92" s="101" t="str">
        <f t="shared" si="2"/>
        <v/>
      </c>
      <c r="F92" s="80" t="str">
        <f t="shared" ca="1" si="3"/>
        <v/>
      </c>
    </row>
    <row r="93" spans="1:6" ht="22" customHeight="1" x14ac:dyDescent="0.2">
      <c r="A93" s="85" t="s">
        <v>186</v>
      </c>
      <c r="B93" s="95" t="s">
        <v>211</v>
      </c>
      <c r="C93" s="101"/>
      <c r="D93" s="89">
        <v>30</v>
      </c>
      <c r="E93" s="101" t="str">
        <f t="shared" si="2"/>
        <v/>
      </c>
      <c r="F93" s="80" t="str">
        <f t="shared" ca="1" si="3"/>
        <v/>
      </c>
    </row>
    <row r="94" spans="1:6" ht="22" customHeight="1" x14ac:dyDescent="0.2">
      <c r="A94" s="85" t="s">
        <v>187</v>
      </c>
      <c r="B94" s="95" t="s">
        <v>212</v>
      </c>
      <c r="C94" s="101"/>
      <c r="D94" s="89">
        <v>30</v>
      </c>
      <c r="E94" s="101" t="str">
        <f t="shared" si="2"/>
        <v/>
      </c>
      <c r="F94" s="80" t="str">
        <f t="shared" ca="1" si="3"/>
        <v/>
      </c>
    </row>
    <row r="95" spans="1:6" ht="22" customHeight="1" x14ac:dyDescent="0.2">
      <c r="A95" s="85" t="s">
        <v>188</v>
      </c>
      <c r="B95" s="95" t="s">
        <v>211</v>
      </c>
      <c r="C95" s="101"/>
      <c r="D95" s="89">
        <v>30</v>
      </c>
      <c r="E95" s="101" t="str">
        <f t="shared" si="2"/>
        <v/>
      </c>
      <c r="F95" s="80" t="str">
        <f t="shared" ca="1" si="3"/>
        <v/>
      </c>
    </row>
    <row r="96" spans="1:6" ht="22" customHeight="1" x14ac:dyDescent="0.2">
      <c r="A96" s="85" t="s">
        <v>189</v>
      </c>
      <c r="B96" s="95" t="s">
        <v>211</v>
      </c>
      <c r="C96" s="101"/>
      <c r="D96" s="89">
        <v>30</v>
      </c>
      <c r="E96" s="101" t="str">
        <f t="shared" si="2"/>
        <v/>
      </c>
      <c r="F96" s="80" t="str">
        <f t="shared" ca="1" si="3"/>
        <v/>
      </c>
    </row>
    <row r="97" spans="1:6" ht="22" customHeight="1" x14ac:dyDescent="0.2">
      <c r="A97" s="85" t="s">
        <v>190</v>
      </c>
      <c r="B97" s="95" t="s">
        <v>199</v>
      </c>
      <c r="C97" s="101"/>
      <c r="D97" s="89">
        <v>30</v>
      </c>
      <c r="E97" s="101" t="str">
        <f t="shared" si="2"/>
        <v/>
      </c>
      <c r="F97" s="80" t="str">
        <f t="shared" ca="1" si="3"/>
        <v/>
      </c>
    </row>
    <row r="98" spans="1:6" ht="22" customHeight="1" x14ac:dyDescent="0.2">
      <c r="A98" s="85" t="s">
        <v>191</v>
      </c>
      <c r="B98" s="95" t="s">
        <v>209</v>
      </c>
      <c r="C98" s="101"/>
      <c r="D98" s="87">
        <v>14</v>
      </c>
      <c r="E98" s="101" t="str">
        <f t="shared" si="2"/>
        <v/>
      </c>
      <c r="F98" s="80" t="str">
        <f t="shared" ca="1" si="3"/>
        <v/>
      </c>
    </row>
    <row r="99" spans="1:6" ht="22" customHeight="1" x14ac:dyDescent="0.2">
      <c r="A99" s="85" t="s">
        <v>192</v>
      </c>
      <c r="B99" s="95" t="s">
        <v>209</v>
      </c>
      <c r="C99" s="101"/>
      <c r="D99" s="87">
        <v>14</v>
      </c>
      <c r="E99" s="101" t="str">
        <f t="shared" si="2"/>
        <v/>
      </c>
      <c r="F99" s="80" t="str">
        <f t="shared" ca="1" si="3"/>
        <v/>
      </c>
    </row>
    <row r="100" spans="1:6" ht="22" customHeight="1" x14ac:dyDescent="0.2">
      <c r="A100" s="85" t="s">
        <v>193</v>
      </c>
      <c r="B100" s="95" t="s">
        <v>209</v>
      </c>
      <c r="C100" s="101"/>
      <c r="D100" s="87">
        <v>14</v>
      </c>
      <c r="E100" s="101" t="str">
        <f t="shared" si="2"/>
        <v/>
      </c>
      <c r="F100" s="80" t="str">
        <f t="shared" ca="1" si="3"/>
        <v/>
      </c>
    </row>
    <row r="101" spans="1:6" ht="22" customHeight="1" x14ac:dyDescent="0.2">
      <c r="A101" s="85" t="s">
        <v>194</v>
      </c>
      <c r="B101" s="95" t="s">
        <v>209</v>
      </c>
      <c r="C101" s="101"/>
      <c r="D101" s="87">
        <v>14</v>
      </c>
      <c r="E101" s="101" t="str">
        <f t="shared" si="2"/>
        <v/>
      </c>
      <c r="F101" s="80" t="str">
        <f t="shared" ca="1" si="3"/>
        <v/>
      </c>
    </row>
    <row r="102" spans="1:6" ht="22" customHeight="1" x14ac:dyDescent="0.2">
      <c r="A102" s="85" t="s">
        <v>195</v>
      </c>
      <c r="B102" s="95" t="s">
        <v>213</v>
      </c>
      <c r="C102" s="101"/>
      <c r="D102" s="87">
        <v>14</v>
      </c>
      <c r="E102" s="101" t="str">
        <f t="shared" si="2"/>
        <v/>
      </c>
      <c r="F102" s="80" t="str">
        <f t="shared" ca="1" si="3"/>
        <v/>
      </c>
    </row>
    <row r="103" spans="1:6" ht="22" customHeight="1" x14ac:dyDescent="0.2">
      <c r="A103" s="85" t="s">
        <v>214</v>
      </c>
      <c r="B103" s="94" t="s">
        <v>258</v>
      </c>
      <c r="C103" s="101"/>
      <c r="D103" s="79">
        <v>30</v>
      </c>
      <c r="E103" s="101" t="str">
        <f t="shared" si="2"/>
        <v/>
      </c>
      <c r="F103" s="80" t="str">
        <f t="shared" ca="1" si="3"/>
        <v/>
      </c>
    </row>
    <row r="104" spans="1:6" ht="22" customHeight="1" x14ac:dyDescent="0.2">
      <c r="A104" s="85" t="s">
        <v>215</v>
      </c>
      <c r="B104" s="94" t="s">
        <v>209</v>
      </c>
      <c r="C104" s="101"/>
      <c r="D104" s="79">
        <v>14</v>
      </c>
      <c r="E104" s="101" t="str">
        <f t="shared" si="2"/>
        <v/>
      </c>
      <c r="F104" s="80" t="str">
        <f t="shared" ca="1" si="3"/>
        <v/>
      </c>
    </row>
    <row r="105" spans="1:6" ht="22" customHeight="1" x14ac:dyDescent="0.2">
      <c r="A105" s="85" t="s">
        <v>216</v>
      </c>
      <c r="B105" s="94" t="s">
        <v>209</v>
      </c>
      <c r="C105" s="101"/>
      <c r="D105" s="79">
        <v>14</v>
      </c>
      <c r="E105" s="101" t="str">
        <f t="shared" si="2"/>
        <v/>
      </c>
      <c r="F105" s="80" t="str">
        <f t="shared" ca="1" si="3"/>
        <v/>
      </c>
    </row>
    <row r="106" spans="1:6" ht="22" customHeight="1" x14ac:dyDescent="0.2">
      <c r="A106" s="85" t="s">
        <v>217</v>
      </c>
      <c r="B106" s="94" t="s">
        <v>259</v>
      </c>
      <c r="C106" s="101"/>
      <c r="D106" s="79">
        <v>14</v>
      </c>
      <c r="E106" s="101" t="str">
        <f t="shared" si="2"/>
        <v/>
      </c>
      <c r="F106" s="80" t="str">
        <f t="shared" ca="1" si="3"/>
        <v/>
      </c>
    </row>
    <row r="107" spans="1:6" ht="22" customHeight="1" x14ac:dyDescent="0.2">
      <c r="A107" s="85" t="s">
        <v>218</v>
      </c>
      <c r="B107" s="94" t="s">
        <v>155</v>
      </c>
      <c r="C107" s="101"/>
      <c r="D107" s="79">
        <v>7</v>
      </c>
      <c r="E107" s="101" t="str">
        <f t="shared" si="2"/>
        <v/>
      </c>
      <c r="F107" s="80" t="str">
        <f t="shared" ca="1" si="3"/>
        <v/>
      </c>
    </row>
    <row r="108" spans="1:6" ht="22" customHeight="1" x14ac:dyDescent="0.2">
      <c r="A108" s="85" t="s">
        <v>219</v>
      </c>
      <c r="B108" s="94" t="s">
        <v>155</v>
      </c>
      <c r="C108" s="101"/>
      <c r="D108" s="79">
        <v>7</v>
      </c>
      <c r="E108" s="101" t="str">
        <f t="shared" si="2"/>
        <v/>
      </c>
      <c r="F108" s="80" t="str">
        <f t="shared" ca="1" si="3"/>
        <v/>
      </c>
    </row>
    <row r="109" spans="1:6" ht="22" customHeight="1" x14ac:dyDescent="0.2">
      <c r="A109" s="85" t="s">
        <v>220</v>
      </c>
      <c r="B109" s="94" t="s">
        <v>260</v>
      </c>
      <c r="C109" s="101"/>
      <c r="D109" s="79">
        <v>7</v>
      </c>
      <c r="E109" s="101" t="str">
        <f t="shared" si="2"/>
        <v/>
      </c>
      <c r="F109" s="80" t="str">
        <f t="shared" ca="1" si="3"/>
        <v/>
      </c>
    </row>
    <row r="110" spans="1:6" ht="22" customHeight="1" x14ac:dyDescent="0.2">
      <c r="A110" s="85" t="s">
        <v>221</v>
      </c>
      <c r="B110" s="94" t="s">
        <v>260</v>
      </c>
      <c r="C110" s="101"/>
      <c r="D110" s="79">
        <v>7</v>
      </c>
      <c r="E110" s="101" t="str">
        <f t="shared" si="2"/>
        <v/>
      </c>
      <c r="F110" s="80" t="str">
        <f t="shared" ca="1" si="3"/>
        <v/>
      </c>
    </row>
    <row r="111" spans="1:6" ht="22" customHeight="1" x14ac:dyDescent="0.2">
      <c r="A111" s="85" t="s">
        <v>222</v>
      </c>
      <c r="B111" s="95" t="s">
        <v>261</v>
      </c>
      <c r="C111" s="101"/>
      <c r="D111" s="87">
        <v>7</v>
      </c>
      <c r="E111" s="101" t="str">
        <f t="shared" si="2"/>
        <v/>
      </c>
      <c r="F111" s="80" t="str">
        <f t="shared" ca="1" si="3"/>
        <v/>
      </c>
    </row>
    <row r="112" spans="1:6" ht="22" customHeight="1" x14ac:dyDescent="0.2">
      <c r="A112" s="85" t="s">
        <v>223</v>
      </c>
      <c r="B112" s="94" t="s">
        <v>262</v>
      </c>
      <c r="C112" s="101"/>
      <c r="D112" s="79">
        <v>14</v>
      </c>
      <c r="E112" s="101" t="str">
        <f t="shared" si="2"/>
        <v/>
      </c>
      <c r="F112" s="80" t="str">
        <f t="shared" ca="1" si="3"/>
        <v/>
      </c>
    </row>
    <row r="113" spans="1:6" ht="22" customHeight="1" x14ac:dyDescent="0.2">
      <c r="A113" s="85" t="s">
        <v>224</v>
      </c>
      <c r="B113" s="94" t="s">
        <v>263</v>
      </c>
      <c r="C113" s="101"/>
      <c r="D113" s="79">
        <v>14</v>
      </c>
      <c r="E113" s="101" t="str">
        <f t="shared" si="2"/>
        <v/>
      </c>
      <c r="F113" s="80" t="str">
        <f t="shared" ca="1" si="3"/>
        <v/>
      </c>
    </row>
    <row r="114" spans="1:6" ht="22" customHeight="1" x14ac:dyDescent="0.2">
      <c r="A114" s="85" t="s">
        <v>225</v>
      </c>
      <c r="B114" s="95" t="s">
        <v>204</v>
      </c>
      <c r="C114" s="101"/>
      <c r="D114" s="87">
        <v>14</v>
      </c>
      <c r="E114" s="101" t="str">
        <f t="shared" si="2"/>
        <v/>
      </c>
      <c r="F114" s="80" t="str">
        <f t="shared" ca="1" si="3"/>
        <v/>
      </c>
    </row>
    <row r="115" spans="1:6" ht="22" customHeight="1" x14ac:dyDescent="0.2">
      <c r="A115" s="85" t="s">
        <v>226</v>
      </c>
      <c r="B115" s="94" t="s">
        <v>264</v>
      </c>
      <c r="C115" s="101"/>
      <c r="D115" s="79">
        <v>7</v>
      </c>
      <c r="E115" s="101" t="str">
        <f t="shared" si="2"/>
        <v/>
      </c>
      <c r="F115" s="80" t="str">
        <f t="shared" ca="1" si="3"/>
        <v/>
      </c>
    </row>
    <row r="116" spans="1:6" ht="22" customHeight="1" x14ac:dyDescent="0.2">
      <c r="A116" s="85" t="s">
        <v>227</v>
      </c>
      <c r="B116" s="94" t="s">
        <v>264</v>
      </c>
      <c r="C116" s="101"/>
      <c r="D116" s="79">
        <v>7</v>
      </c>
      <c r="E116" s="101" t="str">
        <f t="shared" si="2"/>
        <v/>
      </c>
      <c r="F116" s="80" t="str">
        <f t="shared" ca="1" si="3"/>
        <v/>
      </c>
    </row>
    <row r="117" spans="1:6" ht="22" customHeight="1" x14ac:dyDescent="0.2">
      <c r="A117" s="85" t="s">
        <v>228</v>
      </c>
      <c r="B117" s="94" t="s">
        <v>265</v>
      </c>
      <c r="C117" s="101"/>
      <c r="D117" s="79">
        <v>14</v>
      </c>
      <c r="E117" s="101" t="str">
        <f t="shared" si="2"/>
        <v/>
      </c>
      <c r="F117" s="80" t="str">
        <f t="shared" ca="1" si="3"/>
        <v/>
      </c>
    </row>
    <row r="118" spans="1:6" ht="22" customHeight="1" x14ac:dyDescent="0.2">
      <c r="A118" s="85" t="s">
        <v>229</v>
      </c>
      <c r="B118" s="94" t="s">
        <v>265</v>
      </c>
      <c r="C118" s="101"/>
      <c r="D118" s="79">
        <v>14</v>
      </c>
      <c r="E118" s="101" t="str">
        <f t="shared" si="2"/>
        <v/>
      </c>
      <c r="F118" s="80" t="str">
        <f t="shared" ca="1" si="3"/>
        <v/>
      </c>
    </row>
    <row r="119" spans="1:6" ht="22" customHeight="1" x14ac:dyDescent="0.2">
      <c r="A119" s="85" t="s">
        <v>230</v>
      </c>
      <c r="B119" s="94" t="s">
        <v>265</v>
      </c>
      <c r="C119" s="101"/>
      <c r="D119" s="79">
        <v>14</v>
      </c>
      <c r="E119" s="101" t="str">
        <f t="shared" si="2"/>
        <v/>
      </c>
      <c r="F119" s="80" t="str">
        <f t="shared" ca="1" si="3"/>
        <v/>
      </c>
    </row>
    <row r="120" spans="1:6" ht="22" customHeight="1" x14ac:dyDescent="0.2">
      <c r="A120" s="85" t="s">
        <v>231</v>
      </c>
      <c r="B120" s="94" t="s">
        <v>265</v>
      </c>
      <c r="C120" s="101"/>
      <c r="D120" s="79">
        <v>14</v>
      </c>
      <c r="E120" s="101" t="str">
        <f t="shared" si="2"/>
        <v/>
      </c>
      <c r="F120" s="80" t="str">
        <f t="shared" ca="1" si="3"/>
        <v/>
      </c>
    </row>
    <row r="121" spans="1:6" ht="22" customHeight="1" x14ac:dyDescent="0.2">
      <c r="A121" s="85" t="s">
        <v>232</v>
      </c>
      <c r="B121" s="94" t="s">
        <v>155</v>
      </c>
      <c r="C121" s="101"/>
      <c r="D121" s="79">
        <v>14</v>
      </c>
      <c r="E121" s="101" t="str">
        <f t="shared" si="2"/>
        <v/>
      </c>
      <c r="F121" s="80" t="str">
        <f t="shared" ca="1" si="3"/>
        <v/>
      </c>
    </row>
    <row r="122" spans="1:6" ht="22" customHeight="1" x14ac:dyDescent="0.2">
      <c r="A122" s="85" t="s">
        <v>233</v>
      </c>
      <c r="B122" s="94" t="s">
        <v>266</v>
      </c>
      <c r="C122" s="101"/>
      <c r="D122" s="79">
        <v>14</v>
      </c>
      <c r="E122" s="101" t="str">
        <f t="shared" si="2"/>
        <v/>
      </c>
      <c r="F122" s="80" t="str">
        <f t="shared" ca="1" si="3"/>
        <v/>
      </c>
    </row>
    <row r="123" spans="1:6" ht="22" customHeight="1" x14ac:dyDescent="0.2">
      <c r="A123" s="85" t="s">
        <v>234</v>
      </c>
      <c r="B123" s="94" t="s">
        <v>265</v>
      </c>
      <c r="C123" s="101"/>
      <c r="D123" s="79">
        <v>14</v>
      </c>
      <c r="E123" s="101" t="str">
        <f t="shared" si="2"/>
        <v/>
      </c>
      <c r="F123" s="80" t="str">
        <f t="shared" ca="1" si="3"/>
        <v/>
      </c>
    </row>
    <row r="124" spans="1:6" ht="22" customHeight="1" x14ac:dyDescent="0.2">
      <c r="A124" s="85" t="s">
        <v>235</v>
      </c>
      <c r="B124" s="94" t="s">
        <v>267</v>
      </c>
      <c r="C124" s="101"/>
      <c r="D124" s="79">
        <v>14</v>
      </c>
      <c r="E124" s="101" t="str">
        <f t="shared" si="2"/>
        <v/>
      </c>
      <c r="F124" s="80" t="str">
        <f t="shared" ca="1" si="3"/>
        <v/>
      </c>
    </row>
    <row r="125" spans="1:6" ht="22" customHeight="1" x14ac:dyDescent="0.2">
      <c r="A125" s="85" t="s">
        <v>236</v>
      </c>
      <c r="B125" s="100" t="s">
        <v>268</v>
      </c>
      <c r="C125" s="101"/>
      <c r="D125" s="79">
        <v>14</v>
      </c>
      <c r="E125" s="101" t="str">
        <f t="shared" si="2"/>
        <v/>
      </c>
      <c r="F125" s="80" t="str">
        <f t="shared" ca="1" si="3"/>
        <v/>
      </c>
    </row>
    <row r="126" spans="1:6" ht="22" customHeight="1" x14ac:dyDescent="0.2">
      <c r="A126" s="85" t="s">
        <v>237</v>
      </c>
      <c r="B126" s="100" t="s">
        <v>204</v>
      </c>
      <c r="C126" s="101"/>
      <c r="D126" s="90" t="s">
        <v>300</v>
      </c>
      <c r="E126" s="101" t="str">
        <f t="shared" si="2"/>
        <v/>
      </c>
      <c r="F126" s="80" t="str">
        <f t="shared" ca="1" si="3"/>
        <v/>
      </c>
    </row>
    <row r="127" spans="1:6" ht="22" customHeight="1" x14ac:dyDescent="0.2">
      <c r="A127" s="85" t="s">
        <v>238</v>
      </c>
      <c r="B127" s="94" t="s">
        <v>268</v>
      </c>
      <c r="C127" s="101"/>
      <c r="D127" s="90" t="s">
        <v>301</v>
      </c>
      <c r="E127" s="101" t="str">
        <f t="shared" si="2"/>
        <v/>
      </c>
      <c r="F127" s="80" t="str">
        <f t="shared" ca="1" si="3"/>
        <v/>
      </c>
    </row>
    <row r="128" spans="1:6" ht="22" customHeight="1" x14ac:dyDescent="0.2">
      <c r="A128" s="85" t="s">
        <v>239</v>
      </c>
      <c r="B128" s="94" t="s">
        <v>268</v>
      </c>
      <c r="C128" s="101"/>
      <c r="D128" s="90" t="s">
        <v>301</v>
      </c>
      <c r="E128" s="101" t="str">
        <f t="shared" si="2"/>
        <v/>
      </c>
      <c r="F128" s="80" t="str">
        <f t="shared" ca="1" si="3"/>
        <v/>
      </c>
    </row>
    <row r="129" spans="1:6" ht="22" customHeight="1" x14ac:dyDescent="0.2">
      <c r="A129" s="85" t="s">
        <v>240</v>
      </c>
      <c r="B129" s="100" t="s">
        <v>268</v>
      </c>
      <c r="C129" s="101"/>
      <c r="D129" s="90" t="s">
        <v>301</v>
      </c>
      <c r="E129" s="101" t="str">
        <f t="shared" si="2"/>
        <v/>
      </c>
      <c r="F129" s="80" t="str">
        <f t="shared" ca="1" si="3"/>
        <v/>
      </c>
    </row>
    <row r="130" spans="1:6" ht="22" customHeight="1" x14ac:dyDescent="0.2">
      <c r="A130" s="85" t="s">
        <v>241</v>
      </c>
      <c r="B130" s="100" t="s">
        <v>265</v>
      </c>
      <c r="C130" s="101"/>
      <c r="D130" s="90" t="s">
        <v>301</v>
      </c>
      <c r="E130" s="101" t="str">
        <f t="shared" si="2"/>
        <v/>
      </c>
      <c r="F130" s="80" t="str">
        <f t="shared" ca="1" si="3"/>
        <v/>
      </c>
    </row>
    <row r="131" spans="1:6" ht="22" customHeight="1" x14ac:dyDescent="0.2">
      <c r="A131" s="85" t="s">
        <v>242</v>
      </c>
      <c r="B131" s="100" t="s">
        <v>265</v>
      </c>
      <c r="C131" s="101"/>
      <c r="D131" s="90" t="s">
        <v>301</v>
      </c>
      <c r="E131" s="101" t="str">
        <f t="shared" si="2"/>
        <v/>
      </c>
      <c r="F131" s="80" t="str">
        <f t="shared" ca="1" si="3"/>
        <v/>
      </c>
    </row>
    <row r="132" spans="1:6" ht="22" customHeight="1" x14ac:dyDescent="0.2">
      <c r="A132" s="85" t="s">
        <v>243</v>
      </c>
      <c r="B132" s="94" t="s">
        <v>267</v>
      </c>
      <c r="C132" s="101"/>
      <c r="D132" s="90" t="s">
        <v>302</v>
      </c>
      <c r="E132" s="101" t="str">
        <f t="shared" si="2"/>
        <v/>
      </c>
      <c r="F132" s="80" t="str">
        <f t="shared" ca="1" si="3"/>
        <v/>
      </c>
    </row>
    <row r="133" spans="1:6" ht="22" customHeight="1" x14ac:dyDescent="0.2">
      <c r="A133" s="85" t="s">
        <v>244</v>
      </c>
      <c r="B133" s="94" t="s">
        <v>269</v>
      </c>
      <c r="C133" s="101"/>
      <c r="D133" s="79">
        <v>7</v>
      </c>
      <c r="E133" s="101" t="str">
        <f t="shared" ref="E133:E191" si="4">IF(OR(C133="",D133=""),"",C133+D133)</f>
        <v/>
      </c>
      <c r="F133" s="80" t="str">
        <f t="shared" ref="F133:F191" ca="1" si="5">IF(E133="","",IF(E133&lt;TODAY(),"EN RETARD",IF(E133&lt;=TODAY()+7,"À VENIR","À JOUR")))</f>
        <v/>
      </c>
    </row>
    <row r="134" spans="1:6" ht="22" customHeight="1" x14ac:dyDescent="0.2">
      <c r="A134" s="85" t="s">
        <v>245</v>
      </c>
      <c r="B134" s="94" t="s">
        <v>270</v>
      </c>
      <c r="C134" s="101"/>
      <c r="D134" s="79">
        <v>7</v>
      </c>
      <c r="E134" s="101" t="str">
        <f t="shared" si="4"/>
        <v/>
      </c>
      <c r="F134" s="80" t="str">
        <f t="shared" ca="1" si="5"/>
        <v/>
      </c>
    </row>
    <row r="135" spans="1:6" ht="22" customHeight="1" x14ac:dyDescent="0.2">
      <c r="A135" s="85" t="s">
        <v>246</v>
      </c>
      <c r="B135" s="94" t="s">
        <v>271</v>
      </c>
      <c r="C135" s="101"/>
      <c r="D135" s="79">
        <v>7</v>
      </c>
      <c r="E135" s="101" t="str">
        <f t="shared" si="4"/>
        <v/>
      </c>
      <c r="F135" s="80" t="str">
        <f t="shared" ca="1" si="5"/>
        <v/>
      </c>
    </row>
    <row r="136" spans="1:6" ht="22" customHeight="1" x14ac:dyDescent="0.2">
      <c r="A136" s="85" t="s">
        <v>247</v>
      </c>
      <c r="B136" s="94" t="s">
        <v>271</v>
      </c>
      <c r="C136" s="101"/>
      <c r="D136" s="79">
        <v>7</v>
      </c>
      <c r="E136" s="101" t="str">
        <f t="shared" si="4"/>
        <v/>
      </c>
      <c r="F136" s="80" t="str">
        <f t="shared" ca="1" si="5"/>
        <v/>
      </c>
    </row>
    <row r="137" spans="1:6" ht="22" customHeight="1" x14ac:dyDescent="0.2">
      <c r="A137" s="85" t="s">
        <v>248</v>
      </c>
      <c r="B137" s="94" t="s">
        <v>271</v>
      </c>
      <c r="C137" s="101"/>
      <c r="D137" s="79">
        <v>7</v>
      </c>
      <c r="E137" s="101" t="str">
        <f t="shared" si="4"/>
        <v/>
      </c>
      <c r="F137" s="80" t="str">
        <f t="shared" ca="1" si="5"/>
        <v/>
      </c>
    </row>
    <row r="138" spans="1:6" ht="22" customHeight="1" x14ac:dyDescent="0.2">
      <c r="A138" s="85" t="s">
        <v>249</v>
      </c>
      <c r="B138" s="94" t="s">
        <v>270</v>
      </c>
      <c r="C138" s="101"/>
      <c r="D138" s="79">
        <v>7</v>
      </c>
      <c r="E138" s="101" t="str">
        <f t="shared" si="4"/>
        <v/>
      </c>
      <c r="F138" s="80" t="str">
        <f t="shared" ca="1" si="5"/>
        <v/>
      </c>
    </row>
    <row r="139" spans="1:6" ht="22" customHeight="1" x14ac:dyDescent="0.2">
      <c r="A139" s="85" t="s">
        <v>250</v>
      </c>
      <c r="B139" s="94" t="s">
        <v>271</v>
      </c>
      <c r="C139" s="101"/>
      <c r="D139" s="79">
        <v>7</v>
      </c>
      <c r="E139" s="101" t="str">
        <f t="shared" si="4"/>
        <v/>
      </c>
      <c r="F139" s="80" t="str">
        <f t="shared" ca="1" si="5"/>
        <v/>
      </c>
    </row>
    <row r="140" spans="1:6" ht="22" customHeight="1" x14ac:dyDescent="0.2">
      <c r="A140" s="85" t="s">
        <v>251</v>
      </c>
      <c r="B140" s="94" t="s">
        <v>270</v>
      </c>
      <c r="C140" s="101"/>
      <c r="D140" s="79">
        <v>7</v>
      </c>
      <c r="E140" s="101" t="str">
        <f t="shared" si="4"/>
        <v/>
      </c>
      <c r="F140" s="80" t="str">
        <f t="shared" ca="1" si="5"/>
        <v/>
      </c>
    </row>
    <row r="141" spans="1:6" ht="22" customHeight="1" x14ac:dyDescent="0.2">
      <c r="A141" s="85" t="s">
        <v>252</v>
      </c>
      <c r="B141" s="94" t="s">
        <v>271</v>
      </c>
      <c r="C141" s="101"/>
      <c r="D141" s="79">
        <v>7</v>
      </c>
      <c r="E141" s="101" t="str">
        <f t="shared" si="4"/>
        <v/>
      </c>
      <c r="F141" s="80" t="str">
        <f t="shared" ca="1" si="5"/>
        <v/>
      </c>
    </row>
    <row r="142" spans="1:6" ht="22" customHeight="1" x14ac:dyDescent="0.2">
      <c r="A142" s="85" t="s">
        <v>253</v>
      </c>
      <c r="B142" s="94" t="s">
        <v>270</v>
      </c>
      <c r="C142" s="101"/>
      <c r="D142" s="79">
        <v>7</v>
      </c>
      <c r="E142" s="101" t="str">
        <f t="shared" si="4"/>
        <v/>
      </c>
      <c r="F142" s="80" t="str">
        <f t="shared" ca="1" si="5"/>
        <v/>
      </c>
    </row>
    <row r="143" spans="1:6" ht="22" customHeight="1" x14ac:dyDescent="0.2">
      <c r="A143" s="85" t="s">
        <v>254</v>
      </c>
      <c r="B143" s="94" t="s">
        <v>271</v>
      </c>
      <c r="C143" s="101"/>
      <c r="D143" s="79">
        <v>7</v>
      </c>
      <c r="E143" s="101" t="str">
        <f t="shared" si="4"/>
        <v/>
      </c>
      <c r="F143" s="80" t="str">
        <f t="shared" ca="1" si="5"/>
        <v/>
      </c>
    </row>
    <row r="144" spans="1:6" ht="22" customHeight="1" x14ac:dyDescent="0.2">
      <c r="A144" s="85" t="s">
        <v>255</v>
      </c>
      <c r="B144" s="94" t="s">
        <v>270</v>
      </c>
      <c r="C144" s="101"/>
      <c r="D144" s="79">
        <v>7</v>
      </c>
      <c r="E144" s="101" t="str">
        <f t="shared" si="4"/>
        <v/>
      </c>
      <c r="F144" s="80" t="str">
        <f t="shared" ca="1" si="5"/>
        <v/>
      </c>
    </row>
    <row r="145" spans="1:6" ht="22" customHeight="1" x14ac:dyDescent="0.2">
      <c r="A145" s="85" t="s">
        <v>256</v>
      </c>
      <c r="B145" s="94" t="s">
        <v>272</v>
      </c>
      <c r="C145" s="101"/>
      <c r="D145" s="79">
        <v>7</v>
      </c>
      <c r="E145" s="101" t="str">
        <f t="shared" si="4"/>
        <v/>
      </c>
      <c r="F145" s="80" t="str">
        <f t="shared" ca="1" si="5"/>
        <v/>
      </c>
    </row>
    <row r="146" spans="1:6" ht="22" customHeight="1" x14ac:dyDescent="0.2">
      <c r="A146" s="85" t="s">
        <v>257</v>
      </c>
      <c r="B146" s="94" t="s">
        <v>258</v>
      </c>
      <c r="C146" s="101"/>
      <c r="D146" s="79">
        <v>30</v>
      </c>
      <c r="E146" s="101" t="str">
        <f t="shared" si="4"/>
        <v/>
      </c>
      <c r="F146" s="80" t="str">
        <f t="shared" ca="1" si="5"/>
        <v/>
      </c>
    </row>
    <row r="147" spans="1:6" ht="22" customHeight="1" x14ac:dyDescent="0.2">
      <c r="A147" s="84" t="s">
        <v>1</v>
      </c>
      <c r="B147" s="94" t="s">
        <v>47</v>
      </c>
      <c r="C147" s="101"/>
      <c r="D147" s="79">
        <v>30</v>
      </c>
      <c r="E147" s="101" t="str">
        <f t="shared" si="4"/>
        <v/>
      </c>
      <c r="F147" s="80" t="str">
        <f t="shared" ca="1" si="5"/>
        <v/>
      </c>
    </row>
    <row r="148" spans="1:6" ht="22" customHeight="1" x14ac:dyDescent="0.2">
      <c r="A148" s="84" t="s">
        <v>2</v>
      </c>
      <c r="B148" s="94" t="s">
        <v>47</v>
      </c>
      <c r="C148" s="101"/>
      <c r="D148" s="79">
        <v>30</v>
      </c>
      <c r="E148" s="101" t="str">
        <f t="shared" si="4"/>
        <v/>
      </c>
      <c r="F148" s="80" t="str">
        <f t="shared" ca="1" si="5"/>
        <v/>
      </c>
    </row>
    <row r="149" spans="1:6" ht="22" customHeight="1" x14ac:dyDescent="0.2">
      <c r="A149" s="84" t="s">
        <v>3</v>
      </c>
      <c r="B149" s="94" t="s">
        <v>48</v>
      </c>
      <c r="C149" s="101"/>
      <c r="D149" s="79">
        <v>30</v>
      </c>
      <c r="E149" s="101" t="str">
        <f t="shared" si="4"/>
        <v/>
      </c>
      <c r="F149" s="80" t="str">
        <f t="shared" ca="1" si="5"/>
        <v/>
      </c>
    </row>
    <row r="150" spans="1:6" ht="22" customHeight="1" x14ac:dyDescent="0.2">
      <c r="A150" s="84" t="s">
        <v>4</v>
      </c>
      <c r="B150" s="94" t="s">
        <v>49</v>
      </c>
      <c r="C150" s="101"/>
      <c r="D150" s="79">
        <v>30</v>
      </c>
      <c r="E150" s="101" t="str">
        <f t="shared" si="4"/>
        <v/>
      </c>
      <c r="F150" s="80" t="str">
        <f t="shared" ca="1" si="5"/>
        <v/>
      </c>
    </row>
    <row r="151" spans="1:6" ht="22" customHeight="1" x14ac:dyDescent="0.2">
      <c r="A151" s="84" t="s">
        <v>5</v>
      </c>
      <c r="B151" s="94" t="s">
        <v>49</v>
      </c>
      <c r="C151" s="101"/>
      <c r="D151" s="79">
        <v>30</v>
      </c>
      <c r="E151" s="101" t="str">
        <f t="shared" si="4"/>
        <v/>
      </c>
      <c r="F151" s="80" t="str">
        <f t="shared" ca="1" si="5"/>
        <v/>
      </c>
    </row>
    <row r="152" spans="1:6" ht="22" customHeight="1" x14ac:dyDescent="0.2">
      <c r="A152" s="84" t="s">
        <v>6</v>
      </c>
      <c r="B152" s="94" t="s">
        <v>49</v>
      </c>
      <c r="C152" s="101"/>
      <c r="D152" s="79">
        <v>30</v>
      </c>
      <c r="E152" s="101" t="str">
        <f t="shared" si="4"/>
        <v/>
      </c>
      <c r="F152" s="80" t="str">
        <f t="shared" ca="1" si="5"/>
        <v/>
      </c>
    </row>
    <row r="153" spans="1:6" ht="22" customHeight="1" x14ac:dyDescent="0.2">
      <c r="A153" s="84" t="s">
        <v>7</v>
      </c>
      <c r="B153" s="94" t="s">
        <v>49</v>
      </c>
      <c r="C153" s="101"/>
      <c r="D153" s="79">
        <v>30</v>
      </c>
      <c r="E153" s="101" t="str">
        <f t="shared" si="4"/>
        <v/>
      </c>
      <c r="F153" s="80" t="str">
        <f t="shared" ca="1" si="5"/>
        <v/>
      </c>
    </row>
    <row r="154" spans="1:6" ht="22" customHeight="1" x14ac:dyDescent="0.2">
      <c r="A154" s="84" t="s">
        <v>8</v>
      </c>
      <c r="B154" s="94" t="s">
        <v>49</v>
      </c>
      <c r="C154" s="101"/>
      <c r="D154" s="79">
        <v>30</v>
      </c>
      <c r="E154" s="101" t="str">
        <f t="shared" si="4"/>
        <v/>
      </c>
      <c r="F154" s="80" t="str">
        <f t="shared" ca="1" si="5"/>
        <v/>
      </c>
    </row>
    <row r="155" spans="1:6" ht="22" customHeight="1" x14ac:dyDescent="0.2">
      <c r="A155" s="84" t="s">
        <v>9</v>
      </c>
      <c r="B155" s="94" t="s">
        <v>49</v>
      </c>
      <c r="C155" s="101"/>
      <c r="D155" s="79">
        <v>30</v>
      </c>
      <c r="E155" s="101" t="str">
        <f t="shared" si="4"/>
        <v/>
      </c>
      <c r="F155" s="80" t="str">
        <f t="shared" ca="1" si="5"/>
        <v/>
      </c>
    </row>
    <row r="156" spans="1:6" ht="22" customHeight="1" x14ac:dyDescent="0.2">
      <c r="A156" s="84" t="s">
        <v>10</v>
      </c>
      <c r="B156" s="94" t="s">
        <v>49</v>
      </c>
      <c r="C156" s="101"/>
      <c r="D156" s="79">
        <v>30</v>
      </c>
      <c r="E156" s="101" t="str">
        <f t="shared" si="4"/>
        <v/>
      </c>
      <c r="F156" s="80" t="str">
        <f t="shared" ca="1" si="5"/>
        <v/>
      </c>
    </row>
    <row r="157" spans="1:6" ht="22" customHeight="1" x14ac:dyDescent="0.2">
      <c r="A157" s="84" t="s">
        <v>11</v>
      </c>
      <c r="B157" s="94" t="s">
        <v>49</v>
      </c>
      <c r="C157" s="101"/>
      <c r="D157" s="79">
        <v>30</v>
      </c>
      <c r="E157" s="101" t="str">
        <f t="shared" si="4"/>
        <v/>
      </c>
      <c r="F157" s="80" t="str">
        <f t="shared" ca="1" si="5"/>
        <v/>
      </c>
    </row>
    <row r="158" spans="1:6" ht="22" customHeight="1" x14ac:dyDescent="0.2">
      <c r="A158" s="84" t="s">
        <v>12</v>
      </c>
      <c r="B158" s="94" t="s">
        <v>49</v>
      </c>
      <c r="C158" s="101"/>
      <c r="D158" s="79">
        <v>30</v>
      </c>
      <c r="E158" s="101" t="str">
        <f t="shared" si="4"/>
        <v/>
      </c>
      <c r="F158" s="80" t="str">
        <f t="shared" ca="1" si="5"/>
        <v/>
      </c>
    </row>
    <row r="159" spans="1:6" ht="22" customHeight="1" x14ac:dyDescent="0.2">
      <c r="A159" s="84" t="s">
        <v>13</v>
      </c>
      <c r="B159" s="94" t="s">
        <v>49</v>
      </c>
      <c r="C159" s="101"/>
      <c r="D159" s="79">
        <v>30</v>
      </c>
      <c r="E159" s="101" t="str">
        <f t="shared" si="4"/>
        <v/>
      </c>
      <c r="F159" s="80" t="str">
        <f t="shared" ca="1" si="5"/>
        <v/>
      </c>
    </row>
    <row r="160" spans="1:6" ht="22" customHeight="1" x14ac:dyDescent="0.2">
      <c r="A160" s="84" t="s">
        <v>14</v>
      </c>
      <c r="B160" s="94" t="s">
        <v>49</v>
      </c>
      <c r="C160" s="101"/>
      <c r="D160" s="79">
        <v>30</v>
      </c>
      <c r="E160" s="101" t="str">
        <f t="shared" si="4"/>
        <v/>
      </c>
      <c r="F160" s="80" t="str">
        <f t="shared" ca="1" si="5"/>
        <v/>
      </c>
    </row>
    <row r="161" spans="1:6" ht="22" customHeight="1" x14ac:dyDescent="0.2">
      <c r="A161" s="84" t="s">
        <v>15</v>
      </c>
      <c r="B161" s="94" t="s">
        <v>49</v>
      </c>
      <c r="C161" s="101"/>
      <c r="D161" s="79">
        <v>30</v>
      </c>
      <c r="E161" s="101" t="str">
        <f t="shared" si="4"/>
        <v/>
      </c>
      <c r="F161" s="80" t="str">
        <f t="shared" ca="1" si="5"/>
        <v/>
      </c>
    </row>
    <row r="162" spans="1:6" ht="22" customHeight="1" x14ac:dyDescent="0.2">
      <c r="A162" s="84" t="s">
        <v>16</v>
      </c>
      <c r="B162" s="94" t="s">
        <v>49</v>
      </c>
      <c r="C162" s="101"/>
      <c r="D162" s="79">
        <v>30</v>
      </c>
      <c r="E162" s="101" t="str">
        <f t="shared" si="4"/>
        <v/>
      </c>
      <c r="F162" s="80" t="str">
        <f t="shared" ca="1" si="5"/>
        <v/>
      </c>
    </row>
    <row r="163" spans="1:6" ht="22" customHeight="1" x14ac:dyDescent="0.2">
      <c r="A163" s="84" t="s">
        <v>17</v>
      </c>
      <c r="B163" s="94" t="s">
        <v>49</v>
      </c>
      <c r="C163" s="101"/>
      <c r="D163" s="79">
        <v>30</v>
      </c>
      <c r="E163" s="101" t="str">
        <f t="shared" si="4"/>
        <v/>
      </c>
      <c r="F163" s="80" t="str">
        <f t="shared" ca="1" si="5"/>
        <v/>
      </c>
    </row>
    <row r="164" spans="1:6" ht="22" customHeight="1" x14ac:dyDescent="0.2">
      <c r="A164" s="84" t="s">
        <v>18</v>
      </c>
      <c r="B164" s="94" t="s">
        <v>49</v>
      </c>
      <c r="C164" s="101"/>
      <c r="D164" s="79">
        <v>30</v>
      </c>
      <c r="E164" s="101" t="str">
        <f t="shared" si="4"/>
        <v/>
      </c>
      <c r="F164" s="80" t="str">
        <f t="shared" ca="1" si="5"/>
        <v/>
      </c>
    </row>
    <row r="165" spans="1:6" ht="22" customHeight="1" x14ac:dyDescent="0.2">
      <c r="A165" s="84" t="s">
        <v>19</v>
      </c>
      <c r="B165" s="94" t="s">
        <v>49</v>
      </c>
      <c r="C165" s="101"/>
      <c r="D165" s="79">
        <v>30</v>
      </c>
      <c r="E165" s="101" t="str">
        <f t="shared" si="4"/>
        <v/>
      </c>
      <c r="F165" s="80" t="str">
        <f t="shared" ca="1" si="5"/>
        <v/>
      </c>
    </row>
    <row r="166" spans="1:6" ht="22" customHeight="1" x14ac:dyDescent="0.2">
      <c r="A166" s="84" t="s">
        <v>20</v>
      </c>
      <c r="B166" s="94" t="s">
        <v>49</v>
      </c>
      <c r="C166" s="101"/>
      <c r="D166" s="79">
        <v>30</v>
      </c>
      <c r="E166" s="101" t="str">
        <f t="shared" si="4"/>
        <v/>
      </c>
      <c r="F166" s="80" t="str">
        <f t="shared" ca="1" si="5"/>
        <v/>
      </c>
    </row>
    <row r="167" spans="1:6" ht="22" customHeight="1" x14ac:dyDescent="0.2">
      <c r="A167" s="91" t="s">
        <v>21</v>
      </c>
      <c r="B167" s="94" t="s">
        <v>49</v>
      </c>
      <c r="C167" s="101"/>
      <c r="D167" s="79">
        <v>30</v>
      </c>
      <c r="E167" s="101" t="str">
        <f t="shared" si="4"/>
        <v/>
      </c>
      <c r="F167" s="80" t="str">
        <f t="shared" ca="1" si="5"/>
        <v/>
      </c>
    </row>
    <row r="168" spans="1:6" ht="22" customHeight="1" x14ac:dyDescent="0.2">
      <c r="A168" s="91" t="s">
        <v>22</v>
      </c>
      <c r="B168" s="94" t="s">
        <v>49</v>
      </c>
      <c r="C168" s="101"/>
      <c r="D168" s="79">
        <v>30</v>
      </c>
      <c r="E168" s="101" t="str">
        <f t="shared" si="4"/>
        <v/>
      </c>
      <c r="F168" s="80" t="str">
        <f t="shared" ca="1" si="5"/>
        <v/>
      </c>
    </row>
    <row r="169" spans="1:6" ht="22" customHeight="1" x14ac:dyDescent="0.2">
      <c r="A169" s="84" t="s">
        <v>23</v>
      </c>
      <c r="B169" s="94" t="s">
        <v>49</v>
      </c>
      <c r="C169" s="101"/>
      <c r="D169" s="79">
        <v>30</v>
      </c>
      <c r="E169" s="101" t="str">
        <f t="shared" si="4"/>
        <v/>
      </c>
      <c r="F169" s="80" t="str">
        <f t="shared" ca="1" si="5"/>
        <v/>
      </c>
    </row>
    <row r="170" spans="1:6" ht="22" customHeight="1" x14ac:dyDescent="0.2">
      <c r="A170" s="84" t="s">
        <v>24</v>
      </c>
      <c r="B170" s="98" t="s">
        <v>49</v>
      </c>
      <c r="C170" s="101"/>
      <c r="D170" s="79">
        <v>30</v>
      </c>
      <c r="E170" s="101" t="str">
        <f t="shared" si="4"/>
        <v/>
      </c>
      <c r="F170" s="80" t="str">
        <f t="shared" ca="1" si="5"/>
        <v/>
      </c>
    </row>
    <row r="171" spans="1:6" ht="22" customHeight="1" x14ac:dyDescent="0.2">
      <c r="A171" s="84" t="s">
        <v>25</v>
      </c>
      <c r="B171" s="94" t="s">
        <v>49</v>
      </c>
      <c r="C171" s="101"/>
      <c r="D171" s="79">
        <v>30</v>
      </c>
      <c r="E171" s="101" t="str">
        <f t="shared" si="4"/>
        <v/>
      </c>
      <c r="F171" s="80" t="str">
        <f t="shared" ca="1" si="5"/>
        <v/>
      </c>
    </row>
    <row r="172" spans="1:6" ht="22" customHeight="1" x14ac:dyDescent="0.2">
      <c r="A172" s="84" t="s">
        <v>26</v>
      </c>
      <c r="B172" s="94" t="s">
        <v>49</v>
      </c>
      <c r="C172" s="101"/>
      <c r="D172" s="79">
        <v>30</v>
      </c>
      <c r="E172" s="101" t="str">
        <f t="shared" si="4"/>
        <v/>
      </c>
      <c r="F172" s="80" t="str">
        <f t="shared" ca="1" si="5"/>
        <v/>
      </c>
    </row>
    <row r="173" spans="1:6" ht="22" customHeight="1" x14ac:dyDescent="0.2">
      <c r="A173" s="84" t="s">
        <v>27</v>
      </c>
      <c r="B173" s="94" t="s">
        <v>50</v>
      </c>
      <c r="C173" s="101"/>
      <c r="D173" s="79">
        <v>14</v>
      </c>
      <c r="E173" s="101" t="str">
        <f t="shared" si="4"/>
        <v/>
      </c>
      <c r="F173" s="80" t="str">
        <f t="shared" ca="1" si="5"/>
        <v/>
      </c>
    </row>
    <row r="174" spans="1:6" ht="22" customHeight="1" x14ac:dyDescent="0.2">
      <c r="A174" s="84" t="s">
        <v>28</v>
      </c>
      <c r="B174" s="96" t="s">
        <v>50</v>
      </c>
      <c r="C174" s="101"/>
      <c r="D174" s="79">
        <v>14</v>
      </c>
      <c r="E174" s="101" t="str">
        <f t="shared" si="4"/>
        <v/>
      </c>
      <c r="F174" s="80" t="str">
        <f t="shared" ca="1" si="5"/>
        <v/>
      </c>
    </row>
    <row r="175" spans="1:6" ht="22" customHeight="1" x14ac:dyDescent="0.2">
      <c r="A175" s="84" t="s">
        <v>29</v>
      </c>
      <c r="B175" s="94" t="s">
        <v>50</v>
      </c>
      <c r="C175" s="101"/>
      <c r="D175" s="79">
        <v>14</v>
      </c>
      <c r="E175" s="101" t="str">
        <f t="shared" si="4"/>
        <v/>
      </c>
      <c r="F175" s="80" t="str">
        <f t="shared" ca="1" si="5"/>
        <v/>
      </c>
    </row>
    <row r="176" spans="1:6" ht="22" customHeight="1" x14ac:dyDescent="0.2">
      <c r="A176" s="84" t="s">
        <v>30</v>
      </c>
      <c r="B176" s="97" t="s">
        <v>47</v>
      </c>
      <c r="C176" s="101"/>
      <c r="D176" s="79">
        <v>7</v>
      </c>
      <c r="E176" s="101" t="str">
        <f t="shared" si="4"/>
        <v/>
      </c>
      <c r="F176" s="80" t="str">
        <f t="shared" ca="1" si="5"/>
        <v/>
      </c>
    </row>
    <row r="177" spans="1:6" ht="22" customHeight="1" x14ac:dyDescent="0.2">
      <c r="A177" s="85" t="s">
        <v>31</v>
      </c>
      <c r="B177" s="94" t="s">
        <v>51</v>
      </c>
      <c r="C177" s="101"/>
      <c r="D177" s="79">
        <v>14</v>
      </c>
      <c r="E177" s="101" t="str">
        <f t="shared" si="4"/>
        <v/>
      </c>
      <c r="F177" s="80" t="str">
        <f t="shared" ca="1" si="5"/>
        <v/>
      </c>
    </row>
    <row r="178" spans="1:6" ht="22" customHeight="1" x14ac:dyDescent="0.2">
      <c r="A178" s="85" t="s">
        <v>32</v>
      </c>
      <c r="B178" s="94" t="s">
        <v>52</v>
      </c>
      <c r="C178" s="101"/>
      <c r="D178" s="79">
        <v>14</v>
      </c>
      <c r="E178" s="101" t="str">
        <f t="shared" si="4"/>
        <v/>
      </c>
      <c r="F178" s="80" t="str">
        <f t="shared" ca="1" si="5"/>
        <v/>
      </c>
    </row>
    <row r="179" spans="1:6" ht="22" customHeight="1" x14ac:dyDescent="0.2">
      <c r="A179" s="84" t="s">
        <v>33</v>
      </c>
      <c r="B179" s="94" t="s">
        <v>50</v>
      </c>
      <c r="C179" s="101"/>
      <c r="D179" s="79">
        <v>14</v>
      </c>
      <c r="E179" s="101" t="str">
        <f t="shared" si="4"/>
        <v/>
      </c>
      <c r="F179" s="80" t="str">
        <f t="shared" ca="1" si="5"/>
        <v/>
      </c>
    </row>
    <row r="180" spans="1:6" ht="22" customHeight="1" x14ac:dyDescent="0.2">
      <c r="A180" s="84" t="s">
        <v>34</v>
      </c>
      <c r="B180" s="98" t="s">
        <v>51</v>
      </c>
      <c r="C180" s="101"/>
      <c r="D180" s="79">
        <v>14</v>
      </c>
      <c r="E180" s="101" t="str">
        <f t="shared" si="4"/>
        <v/>
      </c>
      <c r="F180" s="80" t="str">
        <f t="shared" ca="1" si="5"/>
        <v/>
      </c>
    </row>
    <row r="181" spans="1:6" ht="22" customHeight="1" x14ac:dyDescent="0.2">
      <c r="A181" s="85" t="s">
        <v>35</v>
      </c>
      <c r="B181" s="94" t="s">
        <v>51</v>
      </c>
      <c r="C181" s="101"/>
      <c r="D181" s="79">
        <v>14</v>
      </c>
      <c r="E181" s="101" t="str">
        <f t="shared" si="4"/>
        <v/>
      </c>
      <c r="F181" s="80" t="str">
        <f t="shared" ca="1" si="5"/>
        <v/>
      </c>
    </row>
    <row r="182" spans="1:6" ht="22" customHeight="1" x14ac:dyDescent="0.2">
      <c r="A182" s="84" t="s">
        <v>36</v>
      </c>
      <c r="B182" s="94" t="s">
        <v>53</v>
      </c>
      <c r="C182" s="101"/>
      <c r="D182" s="79">
        <v>14</v>
      </c>
      <c r="E182" s="101" t="str">
        <f t="shared" si="4"/>
        <v/>
      </c>
      <c r="F182" s="80" t="str">
        <f t="shared" ca="1" si="5"/>
        <v/>
      </c>
    </row>
    <row r="183" spans="1:6" ht="22" customHeight="1" x14ac:dyDescent="0.2">
      <c r="A183" s="85" t="s">
        <v>37</v>
      </c>
      <c r="B183" s="95" t="s">
        <v>53</v>
      </c>
      <c r="C183" s="101"/>
      <c r="D183" s="79">
        <v>14</v>
      </c>
      <c r="E183" s="101" t="str">
        <f t="shared" si="4"/>
        <v/>
      </c>
      <c r="F183" s="80" t="str">
        <f t="shared" ca="1" si="5"/>
        <v/>
      </c>
    </row>
    <row r="184" spans="1:6" ht="22" customHeight="1" x14ac:dyDescent="0.2">
      <c r="A184" s="84" t="s">
        <v>38</v>
      </c>
      <c r="B184" s="96" t="s">
        <v>53</v>
      </c>
      <c r="C184" s="101"/>
      <c r="D184" s="79">
        <v>14</v>
      </c>
      <c r="E184" s="101" t="str">
        <f t="shared" si="4"/>
        <v/>
      </c>
      <c r="F184" s="80" t="str">
        <f t="shared" ca="1" si="5"/>
        <v/>
      </c>
    </row>
    <row r="185" spans="1:6" ht="22" customHeight="1" x14ac:dyDescent="0.2">
      <c r="A185" s="85" t="s">
        <v>39</v>
      </c>
      <c r="B185" s="97" t="s">
        <v>53</v>
      </c>
      <c r="C185" s="101"/>
      <c r="D185" s="79">
        <v>14</v>
      </c>
      <c r="E185" s="101" t="str">
        <f t="shared" si="4"/>
        <v/>
      </c>
      <c r="F185" s="80" t="str">
        <f t="shared" ca="1" si="5"/>
        <v/>
      </c>
    </row>
    <row r="186" spans="1:6" ht="22" customHeight="1" x14ac:dyDescent="0.2">
      <c r="A186" s="84" t="s">
        <v>40</v>
      </c>
      <c r="B186" s="94" t="s">
        <v>53</v>
      </c>
      <c r="C186" s="101"/>
      <c r="D186" s="79">
        <v>14</v>
      </c>
      <c r="E186" s="101" t="str">
        <f t="shared" si="4"/>
        <v/>
      </c>
      <c r="F186" s="80" t="str">
        <f t="shared" ca="1" si="5"/>
        <v/>
      </c>
    </row>
    <row r="187" spans="1:6" ht="22" customHeight="1" x14ac:dyDescent="0.2">
      <c r="A187" s="84" t="s">
        <v>41</v>
      </c>
      <c r="B187" s="96" t="s">
        <v>53</v>
      </c>
      <c r="C187" s="101"/>
      <c r="D187" s="79">
        <v>14</v>
      </c>
      <c r="E187" s="101" t="str">
        <f t="shared" si="4"/>
        <v/>
      </c>
      <c r="F187" s="80" t="str">
        <f t="shared" ca="1" si="5"/>
        <v/>
      </c>
    </row>
    <row r="188" spans="1:6" ht="22" customHeight="1" x14ac:dyDescent="0.2">
      <c r="A188" s="85" t="s">
        <v>42</v>
      </c>
      <c r="B188" s="97" t="s">
        <v>50</v>
      </c>
      <c r="C188" s="101"/>
      <c r="D188" s="79">
        <v>14</v>
      </c>
      <c r="E188" s="101" t="str">
        <f t="shared" si="4"/>
        <v/>
      </c>
      <c r="F188" s="80" t="str">
        <f t="shared" ca="1" si="5"/>
        <v/>
      </c>
    </row>
    <row r="189" spans="1:6" ht="22" customHeight="1" x14ac:dyDescent="0.2">
      <c r="A189" s="85" t="s">
        <v>43</v>
      </c>
      <c r="B189" s="94" t="s">
        <v>53</v>
      </c>
      <c r="C189" s="101"/>
      <c r="D189" s="79">
        <v>14</v>
      </c>
      <c r="E189" s="101" t="str">
        <f t="shared" si="4"/>
        <v/>
      </c>
      <c r="F189" s="80" t="str">
        <f t="shared" ca="1" si="5"/>
        <v/>
      </c>
    </row>
    <row r="190" spans="1:6" ht="22" customHeight="1" x14ac:dyDescent="0.2">
      <c r="A190" s="85" t="s">
        <v>44</v>
      </c>
      <c r="B190" s="94" t="s">
        <v>53</v>
      </c>
      <c r="C190" s="101"/>
      <c r="D190" s="79">
        <v>14</v>
      </c>
      <c r="E190" s="101" t="str">
        <f t="shared" si="4"/>
        <v/>
      </c>
      <c r="F190" s="80" t="str">
        <f t="shared" ca="1" si="5"/>
        <v/>
      </c>
    </row>
    <row r="191" spans="1:6" ht="22" customHeight="1" x14ac:dyDescent="0.2">
      <c r="A191" s="84" t="s">
        <v>45</v>
      </c>
      <c r="B191" s="98" t="s">
        <v>54</v>
      </c>
      <c r="C191" s="101"/>
      <c r="D191" s="84"/>
      <c r="E191" s="101" t="str">
        <f t="shared" si="4"/>
        <v/>
      </c>
      <c r="F191" s="80" t="str">
        <f t="shared" ca="1" si="5"/>
        <v/>
      </c>
    </row>
    <row r="192" spans="1:6" x14ac:dyDescent="0.2">
      <c r="C192" s="102"/>
      <c r="E192" s="102"/>
    </row>
    <row r="193" spans="3:5" x14ac:dyDescent="0.2">
      <c r="C193" s="102"/>
      <c r="E193" s="103"/>
    </row>
    <row r="194" spans="3:5" x14ac:dyDescent="0.2">
      <c r="C194" s="102"/>
      <c r="E194" s="103"/>
    </row>
    <row r="195" spans="3:5" x14ac:dyDescent="0.2">
      <c r="C195" s="102"/>
      <c r="E195" s="103"/>
    </row>
    <row r="196" spans="3:5" x14ac:dyDescent="0.2">
      <c r="C196" s="102"/>
      <c r="E196" s="103"/>
    </row>
    <row r="197" spans="3:5" x14ac:dyDescent="0.2">
      <c r="C197" s="102"/>
      <c r="E197" s="103"/>
    </row>
    <row r="198" spans="3:5" x14ac:dyDescent="0.2">
      <c r="C198" s="102"/>
      <c r="E198" s="103"/>
    </row>
    <row r="199" spans="3:5" x14ac:dyDescent="0.2">
      <c r="C199" s="102"/>
      <c r="E199" s="103"/>
    </row>
    <row r="200" spans="3:5" x14ac:dyDescent="0.2">
      <c r="C200" s="102"/>
      <c r="E200" s="103"/>
    </row>
    <row r="201" spans="3:5" x14ac:dyDescent="0.2">
      <c r="C201" s="102"/>
      <c r="E201" s="103"/>
    </row>
    <row r="202" spans="3:5" x14ac:dyDescent="0.2">
      <c r="C202" s="102"/>
      <c r="E202" s="103"/>
    </row>
    <row r="203" spans="3:5" x14ac:dyDescent="0.2">
      <c r="C203" s="102"/>
      <c r="E203" s="103"/>
    </row>
    <row r="204" spans="3:5" x14ac:dyDescent="0.2">
      <c r="C204" s="102"/>
      <c r="E204" s="103"/>
    </row>
    <row r="205" spans="3:5" x14ac:dyDescent="0.2">
      <c r="C205" s="102"/>
      <c r="E205" s="103"/>
    </row>
    <row r="206" spans="3:5" x14ac:dyDescent="0.2">
      <c r="C206" s="102"/>
      <c r="E206" s="103"/>
    </row>
    <row r="207" spans="3:5" x14ac:dyDescent="0.2">
      <c r="C207" s="102"/>
      <c r="E207" s="103"/>
    </row>
    <row r="208" spans="3:5" x14ac:dyDescent="0.2">
      <c r="C208" s="102"/>
      <c r="E208" s="103"/>
    </row>
    <row r="209" spans="3:5" x14ac:dyDescent="0.2">
      <c r="C209" s="102"/>
      <c r="E209" s="103"/>
    </row>
    <row r="210" spans="3:5" x14ac:dyDescent="0.2">
      <c r="C210" s="102"/>
      <c r="E210" s="103"/>
    </row>
    <row r="211" spans="3:5" x14ac:dyDescent="0.2">
      <c r="C211" s="102"/>
      <c r="E211" s="103"/>
    </row>
    <row r="212" spans="3:5" x14ac:dyDescent="0.2">
      <c r="C212" s="102"/>
      <c r="E212" s="103"/>
    </row>
    <row r="213" spans="3:5" x14ac:dyDescent="0.2">
      <c r="C213" s="102"/>
      <c r="E213" s="103"/>
    </row>
    <row r="214" spans="3:5" x14ac:dyDescent="0.2">
      <c r="C214" s="102"/>
      <c r="E214" s="103"/>
    </row>
    <row r="215" spans="3:5" x14ac:dyDescent="0.2">
      <c r="C215" s="102"/>
      <c r="E215" s="103"/>
    </row>
    <row r="216" spans="3:5" x14ac:dyDescent="0.2">
      <c r="C216" s="102"/>
      <c r="E216" s="103"/>
    </row>
    <row r="217" spans="3:5" x14ac:dyDescent="0.2">
      <c r="C217" s="102"/>
      <c r="E217" s="103"/>
    </row>
    <row r="218" spans="3:5" x14ac:dyDescent="0.2">
      <c r="C218" s="102"/>
      <c r="E218" s="103"/>
    </row>
    <row r="219" spans="3:5" x14ac:dyDescent="0.2">
      <c r="C219" s="102"/>
      <c r="E219" s="103"/>
    </row>
    <row r="220" spans="3:5" x14ac:dyDescent="0.2">
      <c r="C220" s="102"/>
      <c r="E220" s="103"/>
    </row>
    <row r="221" spans="3:5" x14ac:dyDescent="0.2">
      <c r="C221" s="102"/>
      <c r="E221" s="103"/>
    </row>
    <row r="222" spans="3:5" x14ac:dyDescent="0.2">
      <c r="C222" s="102"/>
      <c r="E222" s="103"/>
    </row>
    <row r="223" spans="3:5" x14ac:dyDescent="0.2">
      <c r="C223" s="102"/>
      <c r="E223" s="103"/>
    </row>
    <row r="224" spans="3:5" x14ac:dyDescent="0.2">
      <c r="C224" s="102"/>
      <c r="E224" s="103"/>
    </row>
    <row r="225" spans="3:5" x14ac:dyDescent="0.2">
      <c r="C225" s="102"/>
      <c r="E225" s="103"/>
    </row>
    <row r="226" spans="3:5" x14ac:dyDescent="0.2">
      <c r="C226" s="102"/>
      <c r="E226" s="103"/>
    </row>
    <row r="227" spans="3:5" x14ac:dyDescent="0.2">
      <c r="C227" s="102"/>
      <c r="E227" s="103"/>
    </row>
    <row r="228" spans="3:5" x14ac:dyDescent="0.2">
      <c r="C228" s="102"/>
      <c r="E228" s="103"/>
    </row>
    <row r="229" spans="3:5" x14ac:dyDescent="0.2">
      <c r="C229" s="102"/>
      <c r="E229" s="103"/>
    </row>
    <row r="230" spans="3:5" x14ac:dyDescent="0.2">
      <c r="C230" s="102"/>
      <c r="E230" s="103"/>
    </row>
    <row r="231" spans="3:5" x14ac:dyDescent="0.2">
      <c r="C231" s="102"/>
      <c r="E231" s="103"/>
    </row>
    <row r="232" spans="3:5" x14ac:dyDescent="0.2">
      <c r="C232" s="102"/>
      <c r="E232" s="103"/>
    </row>
    <row r="233" spans="3:5" x14ac:dyDescent="0.2">
      <c r="C233" s="102"/>
      <c r="E233" s="103"/>
    </row>
    <row r="234" spans="3:5" x14ac:dyDescent="0.2">
      <c r="C234" s="102"/>
      <c r="E234" s="103"/>
    </row>
    <row r="235" spans="3:5" x14ac:dyDescent="0.2">
      <c r="C235" s="102"/>
      <c r="E235" s="104"/>
    </row>
    <row r="236" spans="3:5" x14ac:dyDescent="0.2">
      <c r="C236" s="102"/>
      <c r="E236" s="104"/>
    </row>
    <row r="237" spans="3:5" x14ac:dyDescent="0.2">
      <c r="C237" s="102"/>
      <c r="E237" s="104"/>
    </row>
    <row r="238" spans="3:5" x14ac:dyDescent="0.2">
      <c r="C238" s="102"/>
      <c r="E238" s="104"/>
    </row>
    <row r="239" spans="3:5" x14ac:dyDescent="0.2">
      <c r="C239" s="102"/>
      <c r="E239" s="104"/>
    </row>
    <row r="240" spans="3:5" x14ac:dyDescent="0.2">
      <c r="C240" s="102"/>
      <c r="E240" s="104"/>
    </row>
    <row r="241" spans="3:5" x14ac:dyDescent="0.2">
      <c r="C241" s="102"/>
      <c r="E241" s="104"/>
    </row>
    <row r="242" spans="3:5" x14ac:dyDescent="0.2">
      <c r="C242" s="102"/>
      <c r="E242" s="104"/>
    </row>
    <row r="243" spans="3:5" x14ac:dyDescent="0.2">
      <c r="C243" s="102"/>
      <c r="E243" s="104"/>
    </row>
    <row r="244" spans="3:5" x14ac:dyDescent="0.2">
      <c r="C244" s="102"/>
      <c r="E244" s="104"/>
    </row>
    <row r="245" spans="3:5" x14ac:dyDescent="0.2">
      <c r="C245" s="102"/>
      <c r="E245" s="104"/>
    </row>
    <row r="246" spans="3:5" x14ac:dyDescent="0.2">
      <c r="C246" s="102"/>
      <c r="E246" s="104"/>
    </row>
    <row r="247" spans="3:5" x14ac:dyDescent="0.2">
      <c r="C247" s="102"/>
      <c r="E247" s="104"/>
    </row>
    <row r="248" spans="3:5" x14ac:dyDescent="0.2">
      <c r="C248" s="102"/>
      <c r="E248" s="104"/>
    </row>
    <row r="249" spans="3:5" x14ac:dyDescent="0.2">
      <c r="C249" s="102"/>
      <c r="E249" s="104"/>
    </row>
    <row r="250" spans="3:5" x14ac:dyDescent="0.2">
      <c r="C250" s="102"/>
      <c r="E250" s="104"/>
    </row>
    <row r="251" spans="3:5" x14ac:dyDescent="0.2">
      <c r="C251" s="102"/>
      <c r="E251" s="104"/>
    </row>
    <row r="252" spans="3:5" x14ac:dyDescent="0.2">
      <c r="C252" s="102"/>
      <c r="E252" s="104"/>
    </row>
    <row r="253" spans="3:5" x14ac:dyDescent="0.2">
      <c r="C253" s="102"/>
      <c r="E253" s="104"/>
    </row>
    <row r="254" spans="3:5" x14ac:dyDescent="0.2">
      <c r="C254" s="102"/>
      <c r="E254" s="104"/>
    </row>
    <row r="255" spans="3:5" x14ac:dyDescent="0.2">
      <c r="C255" s="102"/>
      <c r="E255" s="104"/>
    </row>
    <row r="256" spans="3:5" x14ac:dyDescent="0.2">
      <c r="C256" s="102"/>
      <c r="E256" s="104"/>
    </row>
    <row r="257" spans="3:5" x14ac:dyDescent="0.2">
      <c r="C257" s="102"/>
      <c r="E257" s="104"/>
    </row>
    <row r="258" spans="3:5" x14ac:dyDescent="0.2">
      <c r="C258" s="102"/>
      <c r="E258" s="104"/>
    </row>
    <row r="259" spans="3:5" x14ac:dyDescent="0.2">
      <c r="C259" s="102"/>
      <c r="E259" s="104"/>
    </row>
    <row r="260" spans="3:5" x14ac:dyDescent="0.2">
      <c r="C260" s="102"/>
      <c r="E260" s="104"/>
    </row>
    <row r="261" spans="3:5" x14ac:dyDescent="0.2">
      <c r="C261" s="102"/>
      <c r="E261" s="104"/>
    </row>
    <row r="262" spans="3:5" x14ac:dyDescent="0.2">
      <c r="C262" s="102"/>
      <c r="E262" s="104"/>
    </row>
    <row r="263" spans="3:5" x14ac:dyDescent="0.2">
      <c r="C263" s="102"/>
      <c r="E263" s="104"/>
    </row>
    <row r="264" spans="3:5" x14ac:dyDescent="0.2">
      <c r="C264" s="102"/>
      <c r="E264" s="104"/>
    </row>
    <row r="265" spans="3:5" x14ac:dyDescent="0.2">
      <c r="C265" s="102"/>
      <c r="E265" s="104"/>
    </row>
    <row r="266" spans="3:5" x14ac:dyDescent="0.2">
      <c r="C266" s="102"/>
      <c r="E266" s="104"/>
    </row>
    <row r="267" spans="3:5" x14ac:dyDescent="0.2">
      <c r="C267" s="102"/>
      <c r="E267" s="104"/>
    </row>
    <row r="268" spans="3:5" x14ac:dyDescent="0.2">
      <c r="C268" s="102"/>
      <c r="E268" s="104"/>
    </row>
    <row r="269" spans="3:5" x14ac:dyDescent="0.2">
      <c r="C269" s="102"/>
      <c r="E269" s="104"/>
    </row>
    <row r="270" spans="3:5" x14ac:dyDescent="0.2">
      <c r="C270" s="102"/>
      <c r="E270" s="104"/>
    </row>
    <row r="271" spans="3:5" x14ac:dyDescent="0.2">
      <c r="C271" s="102"/>
      <c r="E271" s="104"/>
    </row>
    <row r="272" spans="3:5" x14ac:dyDescent="0.2">
      <c r="C272" s="102"/>
      <c r="E272" s="104"/>
    </row>
    <row r="273" spans="3:5" x14ac:dyDescent="0.2">
      <c r="C273" s="102"/>
      <c r="E273" s="104"/>
    </row>
    <row r="274" spans="3:5" x14ac:dyDescent="0.2">
      <c r="C274" s="102"/>
      <c r="E274" s="104"/>
    </row>
    <row r="275" spans="3:5" x14ac:dyDescent="0.2">
      <c r="C275" s="102"/>
      <c r="E275" s="104"/>
    </row>
    <row r="276" spans="3:5" x14ac:dyDescent="0.2">
      <c r="C276" s="102"/>
      <c r="E276" s="104"/>
    </row>
    <row r="277" spans="3:5" x14ac:dyDescent="0.2">
      <c r="C277" s="102"/>
      <c r="E277" s="104"/>
    </row>
    <row r="278" spans="3:5" x14ac:dyDescent="0.2">
      <c r="C278" s="102"/>
      <c r="E278" s="104"/>
    </row>
    <row r="279" spans="3:5" x14ac:dyDescent="0.2">
      <c r="C279" s="102"/>
      <c r="E279" s="104"/>
    </row>
    <row r="280" spans="3:5" x14ac:dyDescent="0.2">
      <c r="C280" s="102"/>
      <c r="E280" s="104"/>
    </row>
    <row r="281" spans="3:5" x14ac:dyDescent="0.2">
      <c r="C281" s="102"/>
      <c r="E281" s="104"/>
    </row>
    <row r="282" spans="3:5" x14ac:dyDescent="0.2">
      <c r="C282" s="102"/>
      <c r="E282" s="104"/>
    </row>
    <row r="283" spans="3:5" x14ac:dyDescent="0.2">
      <c r="C283" s="102"/>
      <c r="E283" s="104"/>
    </row>
    <row r="284" spans="3:5" x14ac:dyDescent="0.2">
      <c r="C284" s="104"/>
      <c r="E284" s="104"/>
    </row>
    <row r="285" spans="3:5" x14ac:dyDescent="0.2">
      <c r="C285" s="104"/>
      <c r="E285" s="104"/>
    </row>
    <row r="286" spans="3:5" x14ac:dyDescent="0.2">
      <c r="C286" s="104"/>
      <c r="E286" s="104"/>
    </row>
    <row r="287" spans="3:5" x14ac:dyDescent="0.2">
      <c r="C287" s="104"/>
      <c r="E287" s="104"/>
    </row>
    <row r="288" spans="3:5" x14ac:dyDescent="0.2">
      <c r="C288" s="104"/>
      <c r="E288" s="104"/>
    </row>
    <row r="289" spans="3:5" x14ac:dyDescent="0.2">
      <c r="C289" s="104"/>
      <c r="E289" s="104"/>
    </row>
    <row r="290" spans="3:5" x14ac:dyDescent="0.2">
      <c r="C290" s="104"/>
      <c r="E290" s="104"/>
    </row>
    <row r="291" spans="3:5" x14ac:dyDescent="0.2">
      <c r="C291" s="104"/>
      <c r="E291" s="104"/>
    </row>
    <row r="292" spans="3:5" x14ac:dyDescent="0.2">
      <c r="C292" s="104"/>
      <c r="E292" s="104"/>
    </row>
    <row r="293" spans="3:5" x14ac:dyDescent="0.2">
      <c r="C293" s="104"/>
      <c r="E293" s="104"/>
    </row>
    <row r="294" spans="3:5" x14ac:dyDescent="0.2">
      <c r="C294" s="104"/>
      <c r="E294" s="104"/>
    </row>
    <row r="295" spans="3:5" x14ac:dyDescent="0.2">
      <c r="C295" s="104"/>
      <c r="E295" s="104"/>
    </row>
    <row r="296" spans="3:5" x14ac:dyDescent="0.2">
      <c r="C296" s="104"/>
      <c r="E296" s="104"/>
    </row>
    <row r="297" spans="3:5" x14ac:dyDescent="0.2">
      <c r="C297" s="104"/>
      <c r="E297" s="104"/>
    </row>
    <row r="298" spans="3:5" x14ac:dyDescent="0.2">
      <c r="C298" s="104"/>
      <c r="E298" s="104"/>
    </row>
    <row r="299" spans="3:5" x14ac:dyDescent="0.2">
      <c r="C299" s="104"/>
      <c r="E299" s="104"/>
    </row>
    <row r="300" spans="3:5" x14ac:dyDescent="0.2">
      <c r="C300" s="104"/>
      <c r="E300" s="104"/>
    </row>
    <row r="301" spans="3:5" x14ac:dyDescent="0.2">
      <c r="C301" s="104"/>
      <c r="E301" s="104"/>
    </row>
    <row r="302" spans="3:5" x14ac:dyDescent="0.2">
      <c r="C302" s="104"/>
      <c r="E302" s="104"/>
    </row>
    <row r="303" spans="3:5" x14ac:dyDescent="0.2">
      <c r="C303" s="104"/>
      <c r="E303" s="104"/>
    </row>
    <row r="304" spans="3:5" x14ac:dyDescent="0.2">
      <c r="C304" s="104"/>
      <c r="E304" s="104"/>
    </row>
    <row r="305" spans="3:5" x14ac:dyDescent="0.2">
      <c r="C305" s="104"/>
      <c r="E305" s="104"/>
    </row>
    <row r="306" spans="3:5" x14ac:dyDescent="0.2">
      <c r="C306" s="104"/>
      <c r="E306" s="104"/>
    </row>
    <row r="307" spans="3:5" x14ac:dyDescent="0.2">
      <c r="C307" s="104"/>
      <c r="E307" s="104"/>
    </row>
    <row r="308" spans="3:5" x14ac:dyDescent="0.2">
      <c r="C308" s="104"/>
      <c r="E308" s="104"/>
    </row>
    <row r="309" spans="3:5" x14ac:dyDescent="0.2">
      <c r="C309" s="104"/>
      <c r="E309" s="104"/>
    </row>
    <row r="310" spans="3:5" x14ac:dyDescent="0.2">
      <c r="C310" s="104"/>
      <c r="E310" s="104"/>
    </row>
    <row r="311" spans="3:5" x14ac:dyDescent="0.2">
      <c r="C311" s="104"/>
      <c r="E311" s="104"/>
    </row>
    <row r="312" spans="3:5" x14ac:dyDescent="0.2">
      <c r="C312" s="104"/>
      <c r="E312" s="104"/>
    </row>
    <row r="313" spans="3:5" x14ac:dyDescent="0.2">
      <c r="C313" s="104"/>
      <c r="E313" s="104"/>
    </row>
    <row r="314" spans="3:5" x14ac:dyDescent="0.2">
      <c r="C314" s="104"/>
      <c r="E314" s="104"/>
    </row>
    <row r="315" spans="3:5" x14ac:dyDescent="0.2">
      <c r="C315" s="104"/>
      <c r="E315" s="104"/>
    </row>
    <row r="316" spans="3:5" x14ac:dyDescent="0.2">
      <c r="C316" s="104"/>
      <c r="E316" s="104"/>
    </row>
    <row r="317" spans="3:5" x14ac:dyDescent="0.2">
      <c r="C317" s="104"/>
      <c r="E317" s="104"/>
    </row>
    <row r="318" spans="3:5" x14ac:dyDescent="0.2">
      <c r="C318" s="104"/>
      <c r="E318" s="104"/>
    </row>
    <row r="319" spans="3:5" x14ac:dyDescent="0.2">
      <c r="C319" s="104"/>
      <c r="E319" s="104"/>
    </row>
    <row r="320" spans="3:5" x14ac:dyDescent="0.2">
      <c r="C320" s="104"/>
      <c r="E320" s="104"/>
    </row>
    <row r="321" spans="3:5" x14ac:dyDescent="0.2">
      <c r="C321" s="104"/>
      <c r="E321" s="104"/>
    </row>
    <row r="322" spans="3:5" x14ac:dyDescent="0.2">
      <c r="C322" s="104"/>
      <c r="E322" s="104"/>
    </row>
    <row r="323" spans="3:5" x14ac:dyDescent="0.2">
      <c r="C323" s="104"/>
      <c r="E323" s="104"/>
    </row>
    <row r="324" spans="3:5" x14ac:dyDescent="0.2">
      <c r="C324" s="104"/>
      <c r="E324" s="104"/>
    </row>
    <row r="325" spans="3:5" x14ac:dyDescent="0.2">
      <c r="C325" s="104"/>
      <c r="E325" s="104"/>
    </row>
    <row r="326" spans="3:5" x14ac:dyDescent="0.2">
      <c r="C326" s="104"/>
      <c r="E326" s="104"/>
    </row>
    <row r="327" spans="3:5" x14ac:dyDescent="0.2">
      <c r="C327" s="104"/>
      <c r="E327" s="104"/>
    </row>
    <row r="328" spans="3:5" x14ac:dyDescent="0.2">
      <c r="C328" s="104"/>
      <c r="E328" s="104"/>
    </row>
    <row r="329" spans="3:5" x14ac:dyDescent="0.2">
      <c r="C329" s="104"/>
      <c r="E329" s="104"/>
    </row>
    <row r="330" spans="3:5" x14ac:dyDescent="0.2">
      <c r="C330" s="104"/>
      <c r="E330" s="104"/>
    </row>
    <row r="331" spans="3:5" x14ac:dyDescent="0.2">
      <c r="C331" s="104"/>
      <c r="E331" s="104"/>
    </row>
    <row r="332" spans="3:5" x14ac:dyDescent="0.2">
      <c r="C332" s="104"/>
      <c r="E332" s="104"/>
    </row>
    <row r="333" spans="3:5" x14ac:dyDescent="0.2">
      <c r="C333" s="104"/>
      <c r="E333" s="104"/>
    </row>
    <row r="334" spans="3:5" x14ac:dyDescent="0.2">
      <c r="C334" s="104"/>
      <c r="E334" s="104"/>
    </row>
    <row r="335" spans="3:5" x14ac:dyDescent="0.2">
      <c r="C335" s="104"/>
      <c r="E335" s="104"/>
    </row>
    <row r="336" spans="3:5" x14ac:dyDescent="0.2">
      <c r="C336" s="104"/>
      <c r="E336" s="104"/>
    </row>
    <row r="337" spans="3:5" x14ac:dyDescent="0.2">
      <c r="C337" s="104"/>
      <c r="E337" s="104"/>
    </row>
    <row r="338" spans="3:5" x14ac:dyDescent="0.2">
      <c r="C338" s="104"/>
      <c r="E338" s="104"/>
    </row>
    <row r="339" spans="3:5" x14ac:dyDescent="0.2">
      <c r="C339" s="104"/>
      <c r="E339" s="104"/>
    </row>
    <row r="340" spans="3:5" x14ac:dyDescent="0.2">
      <c r="C340" s="104"/>
      <c r="E340" s="104"/>
    </row>
    <row r="341" spans="3:5" x14ac:dyDescent="0.2">
      <c r="C341" s="104"/>
      <c r="E341" s="104"/>
    </row>
    <row r="342" spans="3:5" x14ac:dyDescent="0.2">
      <c r="C342" s="104"/>
      <c r="E342" s="104"/>
    </row>
    <row r="343" spans="3:5" x14ac:dyDescent="0.2">
      <c r="C343" s="104"/>
      <c r="E343" s="104"/>
    </row>
    <row r="344" spans="3:5" x14ac:dyDescent="0.2">
      <c r="C344" s="104"/>
      <c r="E344" s="104"/>
    </row>
    <row r="345" spans="3:5" x14ac:dyDescent="0.2">
      <c r="C345" s="104"/>
      <c r="E345" s="104"/>
    </row>
    <row r="346" spans="3:5" x14ac:dyDescent="0.2">
      <c r="C346" s="104"/>
      <c r="E346" s="104"/>
    </row>
    <row r="347" spans="3:5" x14ac:dyDescent="0.2">
      <c r="C347" s="104"/>
      <c r="E347" s="104"/>
    </row>
    <row r="348" spans="3:5" x14ac:dyDescent="0.2">
      <c r="C348" s="104"/>
      <c r="E348" s="104"/>
    </row>
    <row r="349" spans="3:5" x14ac:dyDescent="0.2">
      <c r="C349" s="104"/>
      <c r="E349" s="104"/>
    </row>
    <row r="350" spans="3:5" x14ac:dyDescent="0.2">
      <c r="C350" s="104"/>
      <c r="E350" s="104"/>
    </row>
    <row r="351" spans="3:5" x14ac:dyDescent="0.2">
      <c r="C351" s="104"/>
      <c r="E351" s="104"/>
    </row>
    <row r="352" spans="3:5" x14ac:dyDescent="0.2">
      <c r="C352" s="104"/>
      <c r="E352" s="104"/>
    </row>
    <row r="353" spans="3:5" x14ac:dyDescent="0.2">
      <c r="C353" s="104"/>
      <c r="E353" s="104"/>
    </row>
    <row r="354" spans="3:5" x14ac:dyDescent="0.2">
      <c r="C354" s="104"/>
      <c r="E354" s="104"/>
    </row>
    <row r="355" spans="3:5" x14ac:dyDescent="0.2">
      <c r="C355" s="104"/>
      <c r="E355" s="104"/>
    </row>
    <row r="356" spans="3:5" x14ac:dyDescent="0.2">
      <c r="C356" s="104"/>
      <c r="E356" s="104"/>
    </row>
    <row r="357" spans="3:5" x14ac:dyDescent="0.2">
      <c r="C357" s="104"/>
      <c r="E357" s="104"/>
    </row>
    <row r="358" spans="3:5" x14ac:dyDescent="0.2">
      <c r="C358" s="104"/>
      <c r="E358" s="104"/>
    </row>
    <row r="359" spans="3:5" x14ac:dyDescent="0.2">
      <c r="C359" s="104"/>
      <c r="E359" s="104"/>
    </row>
    <row r="360" spans="3:5" x14ac:dyDescent="0.2">
      <c r="C360" s="104"/>
      <c r="E360" s="104"/>
    </row>
  </sheetData>
  <mergeCells count="2">
    <mergeCell ref="A1:F1"/>
    <mergeCell ref="A2:F2"/>
  </mergeCells>
  <conditionalFormatting sqref="F192:F1048576">
    <cfRule type="colorScale" priority="8">
      <colorScale>
        <cfvo type="formula" val="$F:$F=&quot;RETARD&quot;"/>
        <cfvo type="formula" val="$F:$F=&quot;A PLANIFIER&quot;"/>
        <cfvo type="formula" val="$F:$F=&quot;OK&quot;"/>
        <color rgb="FFFF0000"/>
        <color theme="5"/>
        <color theme="9"/>
      </colorScale>
    </cfRule>
  </conditionalFormatting>
  <conditionalFormatting sqref="F4:F191">
    <cfRule type="containsText" dxfId="2" priority="1" operator="containsText" text="À JOUR">
      <formula>NOT(ISERROR(SEARCH("À JOUR",F4)))</formula>
    </cfRule>
    <cfRule type="containsText" dxfId="1" priority="2" operator="containsText" text="À VENIR">
      <formula>NOT(ISERROR(SEARCH("À VENIR",F4)))</formula>
    </cfRule>
    <cfRule type="containsText" dxfId="0" priority="3" operator="containsText" text="EN RETARD">
      <formula>NOT(ISERROR(SEARCH("EN RETARD",F4)))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OuvrirMenuGMAO">
                <anchor moveWithCells="1" sizeWithCells="1">
                  <from>
                    <xdr:col>7</xdr:col>
                    <xdr:colOff>0</xdr:colOff>
                    <xdr:row>2</xdr:row>
                    <xdr:rowOff>25400</xdr:rowOff>
                  </from>
                  <to>
                    <xdr:col>8</xdr:col>
                    <xdr:colOff>812800</xdr:colOff>
                    <xdr:row>2</xdr:row>
                    <xdr:rowOff>660400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6" enableFormatConditionsCalculation="0"/>
  <dimension ref="A1:J500"/>
  <sheetViews>
    <sheetView workbookViewId="0">
      <selection activeCell="K5" sqref="K5"/>
    </sheetView>
  </sheetViews>
  <sheetFormatPr baseColWidth="10" defaultRowHeight="16" x14ac:dyDescent="0.2"/>
  <cols>
    <col min="1" max="1" width="11.6640625" bestFit="1" customWidth="1"/>
    <col min="2" max="2" width="18.6640625" customWidth="1"/>
    <col min="3" max="3" width="21.5" customWidth="1"/>
    <col min="4" max="4" width="19" customWidth="1"/>
    <col min="5" max="5" width="14.33203125" customWidth="1"/>
    <col min="6" max="6" width="16.5" customWidth="1"/>
    <col min="7" max="7" width="21.5" customWidth="1"/>
    <col min="8" max="8" width="24.6640625" customWidth="1"/>
    <col min="9" max="9" width="24.33203125" customWidth="1"/>
  </cols>
  <sheetData>
    <row r="1" spans="1:10" ht="36" x14ac:dyDescent="0.2">
      <c r="A1" s="41" t="s">
        <v>292</v>
      </c>
      <c r="B1" s="41" t="s">
        <v>293</v>
      </c>
      <c r="C1" s="41" t="s">
        <v>294</v>
      </c>
      <c r="D1" s="41" t="s">
        <v>295</v>
      </c>
      <c r="E1" s="41" t="s">
        <v>296</v>
      </c>
      <c r="F1" s="41" t="s">
        <v>297</v>
      </c>
      <c r="G1" s="41" t="s">
        <v>298</v>
      </c>
      <c r="H1" s="41" t="s">
        <v>303</v>
      </c>
      <c r="I1" s="41" t="s">
        <v>304</v>
      </c>
      <c r="J1" s="10"/>
    </row>
    <row r="2" spans="1:10" ht="18" x14ac:dyDescent="0.2">
      <c r="A2" s="44"/>
      <c r="B2" s="41"/>
      <c r="C2" s="41"/>
      <c r="D2" s="41"/>
      <c r="E2" s="41"/>
      <c r="F2" s="41"/>
      <c r="G2" s="41"/>
      <c r="H2" s="44"/>
      <c r="I2" s="45"/>
      <c r="J2" s="10"/>
    </row>
    <row r="3" spans="1:10" ht="18" x14ac:dyDescent="0.2">
      <c r="A3" s="44"/>
      <c r="B3" s="41"/>
      <c r="C3" s="41"/>
      <c r="D3" s="41"/>
      <c r="E3" s="41"/>
      <c r="F3" s="41"/>
      <c r="G3" s="41"/>
      <c r="H3" s="44"/>
      <c r="I3" s="45"/>
      <c r="J3" s="10"/>
    </row>
    <row r="4" spans="1:10" ht="18" x14ac:dyDescent="0.2">
      <c r="A4" s="44"/>
      <c r="B4" s="41"/>
      <c r="C4" s="41"/>
      <c r="D4" s="41"/>
      <c r="E4" s="41"/>
      <c r="F4" s="41"/>
      <c r="G4" s="41"/>
      <c r="H4" s="44"/>
      <c r="I4" s="45"/>
      <c r="J4" s="10"/>
    </row>
    <row r="5" spans="1:10" ht="18" x14ac:dyDescent="0.2">
      <c r="A5" s="44"/>
      <c r="B5" s="41"/>
      <c r="C5" s="41"/>
      <c r="D5" s="41"/>
      <c r="E5" s="41"/>
      <c r="F5" s="41"/>
      <c r="G5" s="41"/>
      <c r="H5" s="44"/>
      <c r="I5" s="45"/>
      <c r="J5" s="10"/>
    </row>
    <row r="6" spans="1:10" ht="18" x14ac:dyDescent="0.2">
      <c r="A6" s="44"/>
      <c r="B6" s="41"/>
      <c r="C6" s="41"/>
      <c r="D6" s="41"/>
      <c r="E6" s="41"/>
      <c r="F6" s="41"/>
      <c r="G6" s="41"/>
      <c r="H6" s="44"/>
      <c r="I6" s="45"/>
      <c r="J6" s="10"/>
    </row>
    <row r="7" spans="1:10" ht="18" x14ac:dyDescent="0.2">
      <c r="A7" s="44"/>
      <c r="B7" s="41"/>
      <c r="C7" s="41"/>
      <c r="D7" s="41"/>
      <c r="E7" s="41"/>
      <c r="F7" s="41"/>
      <c r="G7" s="41"/>
      <c r="H7" s="44"/>
      <c r="I7" s="45"/>
      <c r="J7" s="10"/>
    </row>
    <row r="8" spans="1:10" ht="18" x14ac:dyDescent="0.2">
      <c r="A8" s="44"/>
      <c r="B8" s="41"/>
      <c r="C8" s="41"/>
      <c r="D8" s="41"/>
      <c r="E8" s="41"/>
      <c r="F8" s="41"/>
      <c r="G8" s="41"/>
      <c r="H8" s="44"/>
      <c r="I8" s="45"/>
      <c r="J8" s="10"/>
    </row>
    <row r="9" spans="1:10" ht="18" x14ac:dyDescent="0.2">
      <c r="A9" s="44"/>
      <c r="B9" s="41"/>
      <c r="C9" s="41"/>
      <c r="D9" s="41"/>
      <c r="E9" s="41"/>
      <c r="F9" s="41"/>
      <c r="G9" s="41"/>
      <c r="H9" s="44"/>
      <c r="I9" s="45"/>
      <c r="J9" s="10"/>
    </row>
    <row r="10" spans="1:10" ht="18" x14ac:dyDescent="0.2">
      <c r="A10" s="44"/>
      <c r="B10" s="41"/>
      <c r="C10" s="41"/>
      <c r="D10" s="41"/>
      <c r="E10" s="41"/>
      <c r="F10" s="41"/>
      <c r="G10" s="41"/>
      <c r="H10" s="44"/>
      <c r="I10" s="45"/>
      <c r="J10" s="10"/>
    </row>
    <row r="11" spans="1:10" ht="18" x14ac:dyDescent="0.2">
      <c r="A11" s="44"/>
      <c r="B11" s="41"/>
      <c r="C11" s="41"/>
      <c r="D11" s="41"/>
      <c r="E11" s="41"/>
      <c r="F11" s="41"/>
      <c r="G11" s="41"/>
      <c r="H11" s="44"/>
      <c r="I11" s="45"/>
      <c r="J11" s="10"/>
    </row>
    <row r="12" spans="1:10" ht="18" x14ac:dyDescent="0.2">
      <c r="A12" s="44"/>
      <c r="B12" s="41"/>
      <c r="C12" s="41"/>
      <c r="D12" s="41"/>
      <c r="E12" s="41"/>
      <c r="F12" s="41"/>
      <c r="G12" s="41"/>
      <c r="H12" s="44"/>
      <c r="I12" s="45"/>
      <c r="J12" s="10"/>
    </row>
    <row r="13" spans="1:10" ht="18" x14ac:dyDescent="0.2">
      <c r="A13" s="44"/>
      <c r="B13" s="41"/>
      <c r="C13" s="41"/>
      <c r="D13" s="41"/>
      <c r="E13" s="41"/>
      <c r="F13" s="41"/>
      <c r="G13" s="41"/>
      <c r="H13" s="44"/>
      <c r="I13" s="45"/>
      <c r="J13" s="10"/>
    </row>
    <row r="14" spans="1:10" ht="18" x14ac:dyDescent="0.2">
      <c r="A14" s="44"/>
      <c r="B14" s="41"/>
      <c r="C14" s="41"/>
      <c r="D14" s="41"/>
      <c r="E14" s="41"/>
      <c r="F14" s="41"/>
      <c r="G14" s="41"/>
      <c r="H14" s="44"/>
      <c r="I14" s="45"/>
      <c r="J14" s="10"/>
    </row>
    <row r="15" spans="1:10" ht="18" x14ac:dyDescent="0.2">
      <c r="A15" s="41"/>
      <c r="B15" s="41"/>
      <c r="C15" s="41"/>
      <c r="D15" s="41"/>
      <c r="E15" s="41"/>
      <c r="F15" s="41"/>
      <c r="G15" s="41"/>
      <c r="H15" s="41"/>
      <c r="I15" s="41"/>
      <c r="J15" s="10"/>
    </row>
    <row r="16" spans="1:10" ht="18" x14ac:dyDescent="0.2">
      <c r="A16" s="41"/>
      <c r="B16" s="41"/>
      <c r="C16" s="41"/>
      <c r="D16" s="41"/>
      <c r="E16" s="41"/>
      <c r="F16" s="41"/>
      <c r="G16" s="41"/>
      <c r="H16" s="41"/>
      <c r="I16" s="41"/>
      <c r="J16" s="10"/>
    </row>
    <row r="17" spans="1:10" ht="18" x14ac:dyDescent="0.2">
      <c r="A17" s="41"/>
      <c r="B17" s="41"/>
      <c r="C17" s="41"/>
      <c r="D17" s="41"/>
      <c r="E17" s="41"/>
      <c r="F17" s="41"/>
      <c r="G17" s="41"/>
      <c r="H17" s="41"/>
      <c r="I17" s="41"/>
      <c r="J17" s="10"/>
    </row>
    <row r="18" spans="1:10" ht="18" x14ac:dyDescent="0.2">
      <c r="A18" s="41"/>
      <c r="B18" s="41"/>
      <c r="C18" s="41"/>
      <c r="D18" s="41"/>
      <c r="E18" s="41"/>
      <c r="F18" s="41"/>
      <c r="G18" s="41"/>
      <c r="H18" s="41"/>
      <c r="I18" s="41"/>
      <c r="J18" s="10"/>
    </row>
    <row r="19" spans="1:10" ht="18" x14ac:dyDescent="0.2">
      <c r="A19" s="41"/>
      <c r="B19" s="41"/>
      <c r="C19" s="41"/>
      <c r="D19" s="41"/>
      <c r="E19" s="41"/>
      <c r="F19" s="41"/>
      <c r="G19" s="41"/>
      <c r="H19" s="41"/>
      <c r="I19" s="41"/>
      <c r="J19" s="10"/>
    </row>
    <row r="20" spans="1:10" ht="18" x14ac:dyDescent="0.2">
      <c r="A20" s="41"/>
      <c r="B20" s="41"/>
      <c r="C20" s="41"/>
      <c r="D20" s="41"/>
      <c r="E20" s="41"/>
      <c r="F20" s="41"/>
      <c r="G20" s="41"/>
      <c r="H20" s="41"/>
      <c r="I20" s="41"/>
      <c r="J20" s="10"/>
    </row>
    <row r="21" spans="1:10" ht="18" x14ac:dyDescent="0.2">
      <c r="A21" s="10"/>
      <c r="B21" s="10"/>
      <c r="C21" s="10"/>
      <c r="D21" s="10"/>
      <c r="E21" s="10"/>
      <c r="F21" s="10"/>
      <c r="G21" s="10"/>
      <c r="H21" s="10"/>
      <c r="I21" s="10"/>
      <c r="J21" s="10"/>
    </row>
    <row r="22" spans="1:10" ht="18" x14ac:dyDescent="0.2">
      <c r="A22" s="10"/>
      <c r="B22" s="10"/>
      <c r="C22" s="10"/>
      <c r="D22" s="10"/>
      <c r="E22" s="10"/>
      <c r="F22" s="10"/>
      <c r="G22" s="10"/>
      <c r="H22" s="10"/>
      <c r="I22" s="10"/>
      <c r="J22" s="10"/>
    </row>
    <row r="23" spans="1:10" ht="18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0"/>
    </row>
    <row r="24" spans="1:10" ht="18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</row>
    <row r="25" spans="1:10" ht="18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0"/>
    </row>
    <row r="26" spans="1:10" ht="18" x14ac:dyDescent="0.2">
      <c r="A26" s="10"/>
      <c r="B26" s="10"/>
      <c r="C26" s="10"/>
      <c r="D26" s="10"/>
      <c r="E26" s="10"/>
      <c r="F26" s="10"/>
      <c r="G26" s="10"/>
      <c r="H26" s="10"/>
      <c r="I26" s="10"/>
      <c r="J26" s="10"/>
    </row>
    <row r="27" spans="1:10" ht="18" x14ac:dyDescent="0.2">
      <c r="A27" s="10"/>
      <c r="B27" s="10"/>
      <c r="C27" s="10"/>
      <c r="D27" s="10"/>
      <c r="E27" s="10"/>
      <c r="F27" s="10"/>
      <c r="G27" s="10"/>
      <c r="H27" s="10"/>
      <c r="I27" s="10"/>
      <c r="J27" s="10"/>
    </row>
    <row r="28" spans="1:10" ht="18" x14ac:dyDescent="0.2">
      <c r="A28" s="10"/>
      <c r="B28" s="10"/>
      <c r="C28" s="10"/>
      <c r="D28" s="10"/>
      <c r="E28" s="10"/>
      <c r="F28" s="10"/>
      <c r="G28" s="10"/>
      <c r="H28" s="10"/>
      <c r="I28" s="10"/>
      <c r="J28" s="10"/>
    </row>
    <row r="29" spans="1:10" ht="18" x14ac:dyDescent="0.2">
      <c r="A29" s="10"/>
      <c r="B29" s="10"/>
      <c r="C29" s="10"/>
      <c r="D29" s="10"/>
      <c r="E29" s="10"/>
      <c r="F29" s="10"/>
      <c r="G29" s="10"/>
      <c r="H29" s="10"/>
      <c r="I29" s="10"/>
      <c r="J29" s="10"/>
    </row>
    <row r="30" spans="1:10" ht="18" x14ac:dyDescent="0.2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ht="18" x14ac:dyDescent="0.2">
      <c r="A31" s="10"/>
      <c r="B31" s="10"/>
      <c r="C31" s="10"/>
      <c r="D31" s="10"/>
      <c r="E31" s="10"/>
      <c r="F31" s="10"/>
      <c r="G31" s="10"/>
      <c r="H31" s="10"/>
      <c r="I31" s="10"/>
      <c r="J31" s="10"/>
    </row>
    <row r="32" spans="1:10" ht="18" x14ac:dyDescent="0.2">
      <c r="A32" s="10"/>
      <c r="B32" s="10"/>
      <c r="C32" s="10"/>
      <c r="D32" s="10"/>
      <c r="E32" s="10"/>
      <c r="F32" s="10"/>
      <c r="G32" s="10"/>
      <c r="H32" s="10"/>
      <c r="I32" s="10"/>
      <c r="J32" s="10"/>
    </row>
    <row r="33" spans="1:10" ht="18" x14ac:dyDescent="0.2">
      <c r="A33" s="10"/>
      <c r="B33" s="10"/>
      <c r="C33" s="10"/>
      <c r="D33" s="10"/>
      <c r="E33" s="10"/>
      <c r="F33" s="10"/>
      <c r="G33" s="10"/>
      <c r="H33" s="10"/>
      <c r="I33" s="10"/>
      <c r="J33" s="10"/>
    </row>
    <row r="34" spans="1:10" ht="18" x14ac:dyDescent="0.2">
      <c r="A34" s="10"/>
      <c r="B34" s="10"/>
      <c r="C34" s="10"/>
      <c r="D34" s="10"/>
      <c r="E34" s="10"/>
      <c r="F34" s="10"/>
      <c r="G34" s="10"/>
      <c r="H34" s="10"/>
      <c r="I34" s="10"/>
      <c r="J34" s="10"/>
    </row>
    <row r="35" spans="1:10" ht="18" x14ac:dyDescent="0.2">
      <c r="A35" s="10"/>
      <c r="B35" s="10"/>
      <c r="C35" s="10"/>
      <c r="D35" s="10"/>
      <c r="E35" s="10"/>
      <c r="F35" s="10"/>
      <c r="G35" s="10"/>
      <c r="H35" s="10"/>
      <c r="I35" s="10"/>
      <c r="J35" s="10"/>
    </row>
    <row r="36" spans="1:10" ht="18" x14ac:dyDescent="0.2">
      <c r="A36" s="10"/>
      <c r="B36" s="10"/>
      <c r="C36" s="10"/>
      <c r="D36" s="10"/>
      <c r="E36" s="10"/>
      <c r="F36" s="10"/>
      <c r="G36" s="10"/>
      <c r="H36" s="10"/>
      <c r="I36" s="10"/>
      <c r="J36" s="10"/>
    </row>
    <row r="37" spans="1:10" ht="18" x14ac:dyDescent="0.2">
      <c r="A37" s="10"/>
      <c r="B37" s="10"/>
      <c r="C37" s="10"/>
      <c r="D37" s="10"/>
      <c r="E37" s="10"/>
      <c r="F37" s="10"/>
      <c r="G37" s="10"/>
      <c r="H37" s="10"/>
      <c r="I37" s="10"/>
      <c r="J37" s="10"/>
    </row>
    <row r="38" spans="1:10" ht="18" x14ac:dyDescent="0.2">
      <c r="A38" s="10"/>
      <c r="B38" s="10"/>
      <c r="C38" s="10"/>
      <c r="D38" s="10"/>
      <c r="E38" s="10"/>
      <c r="F38" s="10"/>
      <c r="G38" s="10"/>
      <c r="H38" s="10"/>
      <c r="I38" s="10"/>
      <c r="J38" s="10"/>
    </row>
    <row r="39" spans="1:10" ht="18" x14ac:dyDescent="0.2">
      <c r="A39" s="10"/>
      <c r="B39" s="10"/>
      <c r="C39" s="10"/>
      <c r="D39" s="10"/>
      <c r="E39" s="10"/>
      <c r="F39" s="10"/>
      <c r="G39" s="10"/>
      <c r="H39" s="10"/>
      <c r="I39" s="10"/>
      <c r="J39" s="10"/>
    </row>
    <row r="40" spans="1:10" ht="18" x14ac:dyDescent="0.2">
      <c r="A40" s="10"/>
      <c r="B40" s="10"/>
      <c r="C40" s="10"/>
      <c r="D40" s="10"/>
      <c r="E40" s="10"/>
      <c r="F40" s="10"/>
      <c r="G40" s="10"/>
      <c r="H40" s="10"/>
      <c r="I40" s="10"/>
      <c r="J40" s="10"/>
    </row>
    <row r="41" spans="1:10" ht="18" x14ac:dyDescent="0.2">
      <c r="A41" s="10"/>
      <c r="B41" s="10"/>
      <c r="C41" s="10"/>
      <c r="D41" s="10"/>
      <c r="E41" s="10"/>
      <c r="F41" s="10"/>
      <c r="G41" s="10"/>
      <c r="H41" s="10"/>
      <c r="I41" s="10"/>
      <c r="J41" s="10"/>
    </row>
    <row r="42" spans="1:10" ht="18" x14ac:dyDescent="0.2">
      <c r="A42" s="10"/>
      <c r="B42" s="10"/>
      <c r="C42" s="10"/>
      <c r="D42" s="10"/>
      <c r="E42" s="10"/>
      <c r="F42" s="10"/>
      <c r="G42" s="10"/>
      <c r="H42" s="10"/>
      <c r="I42" s="10"/>
      <c r="J42" s="10"/>
    </row>
    <row r="43" spans="1:10" ht="18" x14ac:dyDescent="0.2">
      <c r="A43" s="10"/>
      <c r="B43" s="10"/>
      <c r="C43" s="10"/>
      <c r="D43" s="10"/>
      <c r="E43" s="10"/>
      <c r="F43" s="10"/>
      <c r="G43" s="10"/>
      <c r="H43" s="10"/>
      <c r="I43" s="10"/>
      <c r="J43" s="10"/>
    </row>
    <row r="44" spans="1:10" ht="18" x14ac:dyDescent="0.2">
      <c r="A44" s="10"/>
      <c r="B44" s="10"/>
      <c r="C44" s="10"/>
      <c r="D44" s="10"/>
      <c r="E44" s="10"/>
      <c r="F44" s="10"/>
      <c r="G44" s="10"/>
      <c r="H44" s="10"/>
      <c r="I44" s="10"/>
      <c r="J44" s="10"/>
    </row>
    <row r="45" spans="1:10" ht="18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/>
    </row>
    <row r="46" spans="1:10" ht="18" x14ac:dyDescent="0.2">
      <c r="A46" s="10"/>
      <c r="B46" s="10"/>
      <c r="C46" s="10"/>
      <c r="D46" s="10"/>
      <c r="E46" s="10"/>
      <c r="F46" s="10"/>
      <c r="G46" s="10"/>
      <c r="H46" s="10"/>
      <c r="I46" s="10"/>
      <c r="J46" s="10"/>
    </row>
    <row r="47" spans="1:10" ht="18" x14ac:dyDescent="0.2">
      <c r="A47" s="10"/>
      <c r="B47" s="10"/>
      <c r="C47" s="10"/>
      <c r="D47" s="10"/>
      <c r="E47" s="10"/>
      <c r="F47" s="10"/>
      <c r="G47" s="10"/>
      <c r="H47" s="10"/>
      <c r="I47" s="10"/>
      <c r="J47" s="10"/>
    </row>
    <row r="48" spans="1:10" ht="18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</row>
    <row r="49" spans="1:10" ht="18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/>
    </row>
    <row r="50" spans="1:10" ht="18" x14ac:dyDescent="0.2">
      <c r="A50" s="10"/>
      <c r="B50" s="10"/>
      <c r="C50" s="10"/>
      <c r="D50" s="10"/>
      <c r="E50" s="10"/>
      <c r="F50" s="10"/>
      <c r="G50" s="10"/>
      <c r="H50" s="10"/>
      <c r="I50" s="10"/>
      <c r="J50" s="10"/>
    </row>
    <row r="51" spans="1:10" ht="18" x14ac:dyDescent="0.2">
      <c r="A51" s="10"/>
      <c r="B51" s="10"/>
      <c r="C51" s="10"/>
      <c r="D51" s="10"/>
      <c r="E51" s="10"/>
      <c r="F51" s="10"/>
      <c r="G51" s="10"/>
      <c r="H51" s="10"/>
      <c r="I51" s="10"/>
      <c r="J51" s="10"/>
    </row>
    <row r="52" spans="1:10" ht="18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/>
    </row>
    <row r="53" spans="1:10" ht="18" x14ac:dyDescent="0.2">
      <c r="A53" s="10"/>
      <c r="B53" s="10"/>
      <c r="C53" s="10"/>
      <c r="D53" s="10"/>
      <c r="E53" s="10"/>
      <c r="F53" s="10"/>
      <c r="G53" s="10"/>
      <c r="H53" s="10"/>
      <c r="I53" s="10"/>
      <c r="J53" s="10"/>
    </row>
    <row r="54" spans="1:10" ht="18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</row>
    <row r="55" spans="1:10" ht="18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</row>
    <row r="56" spans="1:10" ht="18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</row>
    <row r="57" spans="1:10" ht="18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</row>
    <row r="58" spans="1:10" ht="18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</row>
    <row r="59" spans="1:10" ht="18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</row>
    <row r="60" spans="1:10" ht="18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</row>
    <row r="61" spans="1:10" ht="18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</row>
    <row r="62" spans="1:10" ht="18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</row>
    <row r="63" spans="1:10" ht="18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</row>
    <row r="64" spans="1:10" ht="18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</row>
    <row r="65" spans="1:10" ht="18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</row>
    <row r="66" spans="1:10" ht="18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</row>
    <row r="67" spans="1:10" ht="18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</row>
    <row r="68" spans="1:10" ht="18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</row>
    <row r="69" spans="1:10" ht="18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</row>
    <row r="70" spans="1:10" ht="18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</row>
    <row r="71" spans="1:10" ht="18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</row>
    <row r="72" spans="1:10" ht="18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</row>
    <row r="73" spans="1:10" ht="18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</row>
    <row r="74" spans="1:10" ht="18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</row>
    <row r="75" spans="1:10" ht="18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</row>
    <row r="76" spans="1:10" ht="18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10" ht="18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10" ht="18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</row>
    <row r="79" spans="1:10" ht="18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</row>
    <row r="80" spans="1:10" ht="18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</row>
    <row r="81" spans="1:10" ht="18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</row>
    <row r="82" spans="1:10" ht="18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</row>
    <row r="83" spans="1:10" ht="18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</row>
    <row r="84" spans="1:10" ht="18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</row>
    <row r="85" spans="1:10" ht="18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</row>
    <row r="86" spans="1:10" ht="18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</row>
    <row r="87" spans="1:10" ht="18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</row>
    <row r="88" spans="1:10" ht="18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</row>
    <row r="89" spans="1:10" ht="18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</row>
    <row r="90" spans="1:10" ht="18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</row>
    <row r="91" spans="1:10" ht="18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</row>
    <row r="92" spans="1:10" ht="18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</row>
    <row r="93" spans="1:10" ht="18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</row>
    <row r="94" spans="1:10" ht="18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</row>
    <row r="95" spans="1:10" ht="18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</row>
    <row r="96" spans="1:10" ht="18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</row>
    <row r="97" spans="1:10" ht="18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</row>
    <row r="98" spans="1:10" ht="18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</row>
    <row r="99" spans="1:10" ht="18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</row>
    <row r="100" spans="1:10" ht="18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</row>
    <row r="101" spans="1:10" ht="18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</row>
    <row r="102" spans="1:10" ht="18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</row>
    <row r="103" spans="1:10" ht="18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</row>
    <row r="104" spans="1:10" ht="18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</row>
    <row r="105" spans="1:10" ht="18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</row>
    <row r="106" spans="1:10" ht="18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</row>
    <row r="107" spans="1:10" ht="18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</row>
    <row r="108" spans="1:10" ht="18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</row>
    <row r="109" spans="1:10" ht="18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</row>
    <row r="110" spans="1:10" ht="18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</row>
    <row r="111" spans="1:10" ht="18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</row>
    <row r="112" spans="1:10" ht="18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</row>
    <row r="113" spans="1:10" ht="18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</row>
    <row r="114" spans="1:10" ht="18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</row>
    <row r="115" spans="1:10" ht="18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</row>
    <row r="116" spans="1:10" ht="18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</row>
    <row r="117" spans="1:10" ht="18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</row>
    <row r="118" spans="1:10" ht="18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</row>
    <row r="119" spans="1:10" ht="18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</row>
    <row r="120" spans="1:10" ht="18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</row>
    <row r="121" spans="1:10" ht="18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</row>
    <row r="122" spans="1:10" ht="18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</row>
    <row r="123" spans="1:10" ht="18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</row>
    <row r="124" spans="1:10" ht="18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</row>
    <row r="125" spans="1:10" ht="18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</row>
    <row r="126" spans="1:10" ht="18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</row>
    <row r="127" spans="1:10" ht="18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</row>
    <row r="128" spans="1:10" ht="18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</row>
    <row r="129" spans="1:10" ht="18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</row>
    <row r="130" spans="1:10" ht="18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</row>
    <row r="131" spans="1:10" ht="18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</row>
    <row r="132" spans="1:10" ht="18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</row>
    <row r="133" spans="1:10" ht="18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</row>
    <row r="134" spans="1:10" ht="18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</row>
    <row r="135" spans="1:10" ht="18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</row>
    <row r="136" spans="1:10" ht="18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</row>
    <row r="137" spans="1:10" ht="18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</row>
    <row r="138" spans="1:10" ht="18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</row>
    <row r="139" spans="1:10" ht="18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</row>
    <row r="140" spans="1:10" ht="18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</row>
    <row r="141" spans="1:10" ht="18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</row>
    <row r="142" spans="1:10" ht="18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</row>
    <row r="143" spans="1:10" ht="18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</row>
    <row r="144" spans="1:10" ht="18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</row>
    <row r="145" spans="1:10" ht="18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</row>
    <row r="146" spans="1:10" ht="18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</row>
    <row r="147" spans="1:10" ht="18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</row>
    <row r="148" spans="1:10" ht="18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</row>
    <row r="149" spans="1:10" ht="18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</row>
    <row r="150" spans="1:10" ht="18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</row>
    <row r="151" spans="1:10" ht="18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</row>
    <row r="152" spans="1:10" ht="18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</row>
    <row r="153" spans="1:10" ht="18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</row>
    <row r="154" spans="1:10" ht="18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</row>
    <row r="155" spans="1:10" ht="18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</row>
    <row r="156" spans="1:10" ht="18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</row>
    <row r="157" spans="1:10" ht="18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</row>
    <row r="158" spans="1:10" ht="18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</row>
    <row r="159" spans="1:10" ht="18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</row>
    <row r="160" spans="1:10" ht="18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</row>
    <row r="161" spans="1:10" ht="18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</row>
    <row r="162" spans="1:10" ht="18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</row>
    <row r="163" spans="1:10" ht="18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</row>
    <row r="164" spans="1:10" ht="18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</row>
    <row r="165" spans="1:10" ht="18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</row>
    <row r="166" spans="1:10" ht="18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</row>
    <row r="167" spans="1:10" ht="18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</row>
    <row r="168" spans="1:10" ht="18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</row>
    <row r="169" spans="1:10" ht="18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</row>
    <row r="170" spans="1:10" ht="18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</row>
    <row r="171" spans="1:10" ht="18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</row>
    <row r="172" spans="1:10" ht="18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</row>
    <row r="173" spans="1:10" ht="18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</row>
    <row r="174" spans="1:10" ht="18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</row>
    <row r="175" spans="1:10" ht="18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</row>
    <row r="176" spans="1:10" ht="18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</row>
    <row r="177" spans="1:10" ht="18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</row>
    <row r="178" spans="1:10" ht="18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</row>
    <row r="179" spans="1:10" ht="18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</row>
    <row r="180" spans="1:10" ht="18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</row>
    <row r="181" spans="1:10" ht="18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</row>
    <row r="182" spans="1:10" ht="18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</row>
    <row r="183" spans="1:10" ht="18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</row>
    <row r="184" spans="1:10" ht="18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</row>
    <row r="185" spans="1:10" ht="18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</row>
    <row r="186" spans="1:10" ht="18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</row>
    <row r="187" spans="1:10" ht="18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</row>
    <row r="188" spans="1:10" ht="18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</row>
    <row r="189" spans="1:10" ht="18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</row>
    <row r="190" spans="1:10" ht="18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</row>
    <row r="191" spans="1:10" ht="18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</row>
    <row r="192" spans="1:10" ht="18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</row>
    <row r="193" spans="1:10" ht="18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</row>
    <row r="194" spans="1:10" ht="18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</row>
    <row r="195" spans="1:10" ht="18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</row>
    <row r="196" spans="1:10" ht="18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</row>
    <row r="197" spans="1:10" ht="18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</row>
    <row r="198" spans="1:10" ht="18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</row>
    <row r="199" spans="1:10" ht="18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</row>
    <row r="200" spans="1:10" ht="18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</row>
    <row r="201" spans="1:10" ht="18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</row>
    <row r="202" spans="1:10" ht="18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</row>
    <row r="203" spans="1:10" ht="18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</row>
    <row r="204" spans="1:10" ht="18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</row>
    <row r="205" spans="1:10" ht="18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</row>
    <row r="206" spans="1:10" ht="18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</row>
    <row r="207" spans="1:10" ht="18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</row>
    <row r="208" spans="1:10" ht="18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</row>
    <row r="209" spans="1:10" ht="18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</row>
    <row r="210" spans="1:10" ht="18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</row>
    <row r="211" spans="1:10" ht="18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</row>
    <row r="212" spans="1:10" ht="18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</row>
    <row r="213" spans="1:10" ht="18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</row>
    <row r="214" spans="1:10" ht="18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</row>
    <row r="215" spans="1:10" ht="18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</row>
    <row r="216" spans="1:10" ht="18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</row>
    <row r="217" spans="1:10" ht="18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</row>
    <row r="218" spans="1:10" ht="18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</row>
    <row r="219" spans="1:10" ht="18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</row>
    <row r="220" spans="1:10" ht="18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</row>
    <row r="221" spans="1:10" ht="18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</row>
    <row r="222" spans="1:10" ht="18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</row>
    <row r="223" spans="1:10" ht="18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</row>
    <row r="224" spans="1:10" ht="18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</row>
    <row r="225" spans="1:10" ht="18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</row>
    <row r="226" spans="1:10" ht="18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</row>
    <row r="227" spans="1:10" ht="18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</row>
    <row r="228" spans="1:10" ht="18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</row>
    <row r="229" spans="1:10" ht="18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</row>
    <row r="230" spans="1:10" ht="18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</row>
    <row r="231" spans="1:10" ht="18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</row>
    <row r="232" spans="1:10" ht="18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</row>
    <row r="233" spans="1:10" ht="18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</row>
    <row r="234" spans="1:10" ht="18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</row>
    <row r="235" spans="1:10" ht="18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</row>
    <row r="236" spans="1:10" ht="18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</row>
    <row r="237" spans="1:10" ht="18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</row>
    <row r="238" spans="1:10" ht="18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</row>
    <row r="239" spans="1:10" ht="18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</row>
    <row r="240" spans="1:10" ht="18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</row>
    <row r="241" spans="1:10" ht="18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</row>
    <row r="242" spans="1:10" ht="18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</row>
    <row r="243" spans="1:10" ht="18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</row>
    <row r="244" spans="1:10" ht="18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</row>
    <row r="245" spans="1:10" ht="18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</row>
    <row r="246" spans="1:10" ht="18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</row>
    <row r="247" spans="1:10" ht="18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</row>
    <row r="248" spans="1:10" ht="18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</row>
    <row r="249" spans="1:10" ht="18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</row>
    <row r="250" spans="1:10" ht="18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</row>
    <row r="251" spans="1:10" ht="18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</row>
    <row r="252" spans="1:10" ht="18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</row>
    <row r="253" spans="1:10" ht="18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</row>
    <row r="254" spans="1:10" ht="18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</row>
    <row r="255" spans="1:10" ht="18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</row>
    <row r="256" spans="1:10" ht="18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</row>
    <row r="257" spans="1:10" ht="18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</row>
    <row r="258" spans="1:10" ht="18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</row>
    <row r="259" spans="1:10" ht="18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</row>
    <row r="260" spans="1:10" ht="18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</row>
    <row r="261" spans="1:10" ht="18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</row>
    <row r="262" spans="1:10" ht="18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</row>
    <row r="263" spans="1:10" ht="18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</row>
    <row r="264" spans="1:10" ht="18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</row>
    <row r="265" spans="1:10" ht="18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</row>
    <row r="266" spans="1:10" ht="18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</row>
    <row r="267" spans="1:10" ht="18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</row>
    <row r="268" spans="1:10" ht="18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</row>
    <row r="269" spans="1:10" ht="18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</row>
    <row r="270" spans="1:10" ht="18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</row>
    <row r="271" spans="1:10" ht="18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</row>
    <row r="272" spans="1:10" ht="18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</row>
    <row r="273" spans="1:10" ht="18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</row>
    <row r="274" spans="1:10" ht="18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</row>
    <row r="275" spans="1:10" ht="18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</row>
    <row r="276" spans="1:10" ht="18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</row>
    <row r="277" spans="1:10" ht="18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</row>
    <row r="278" spans="1:10" ht="18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</row>
    <row r="279" spans="1:10" ht="18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</row>
    <row r="280" spans="1:10" ht="18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</row>
    <row r="281" spans="1:10" ht="18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</row>
    <row r="282" spans="1:10" ht="18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</row>
    <row r="283" spans="1:10" ht="18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</row>
    <row r="284" spans="1:10" ht="18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</row>
    <row r="285" spans="1:10" ht="18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</row>
    <row r="286" spans="1:10" ht="18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</row>
    <row r="287" spans="1:10" ht="18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</row>
    <row r="288" spans="1:10" ht="18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</row>
    <row r="289" spans="1:10" ht="18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</row>
    <row r="290" spans="1:10" ht="18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</row>
    <row r="291" spans="1:10" ht="18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</row>
    <row r="292" spans="1:10" ht="18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</row>
    <row r="293" spans="1:10" ht="18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</row>
    <row r="294" spans="1:10" ht="18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</row>
    <row r="295" spans="1:10" ht="18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</row>
    <row r="296" spans="1:10" ht="18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</row>
    <row r="297" spans="1:10" ht="18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</row>
    <row r="298" spans="1:10" ht="18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</row>
    <row r="299" spans="1:10" ht="18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</row>
    <row r="300" spans="1:10" ht="18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</row>
    <row r="301" spans="1:10" ht="18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</row>
    <row r="302" spans="1:10" ht="18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</row>
    <row r="303" spans="1:10" ht="18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</row>
    <row r="304" spans="1:10" ht="18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</row>
    <row r="305" spans="1:10" ht="18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</row>
    <row r="306" spans="1:10" ht="18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</row>
    <row r="307" spans="1:10" ht="18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</row>
    <row r="308" spans="1:10" ht="18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</row>
    <row r="309" spans="1:10" ht="18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</row>
    <row r="310" spans="1:10" ht="18" x14ac:dyDescent="0.2">
      <c r="A310" s="10"/>
      <c r="B310" s="10"/>
      <c r="C310" s="10"/>
      <c r="D310" s="10"/>
      <c r="E310" s="10"/>
      <c r="F310" s="10"/>
      <c r="G310" s="10"/>
      <c r="H310" s="10"/>
      <c r="I310" s="10"/>
      <c r="J310" s="10"/>
    </row>
    <row r="311" spans="1:10" ht="18" x14ac:dyDescent="0.2">
      <c r="A311" s="10"/>
      <c r="B311" s="10"/>
      <c r="C311" s="10"/>
      <c r="D311" s="10"/>
      <c r="E311" s="10"/>
      <c r="F311" s="10"/>
      <c r="G311" s="10"/>
      <c r="H311" s="10"/>
      <c r="I311" s="10"/>
      <c r="J311" s="10"/>
    </row>
    <row r="312" spans="1:10" ht="18" x14ac:dyDescent="0.2">
      <c r="A312" s="10"/>
      <c r="B312" s="10"/>
      <c r="C312" s="10"/>
      <c r="D312" s="10"/>
      <c r="E312" s="10"/>
      <c r="F312" s="10"/>
      <c r="G312" s="10"/>
      <c r="H312" s="10"/>
      <c r="I312" s="10"/>
      <c r="J312" s="10"/>
    </row>
    <row r="313" spans="1:10" ht="18" x14ac:dyDescent="0.2">
      <c r="A313" s="10"/>
      <c r="B313" s="10"/>
      <c r="C313" s="10"/>
      <c r="D313" s="10"/>
      <c r="E313" s="10"/>
      <c r="F313" s="10"/>
      <c r="G313" s="10"/>
      <c r="H313" s="10"/>
      <c r="I313" s="10"/>
      <c r="J313" s="10"/>
    </row>
    <row r="314" spans="1:10" ht="18" x14ac:dyDescent="0.2">
      <c r="A314" s="10"/>
      <c r="B314" s="10"/>
      <c r="C314" s="10"/>
      <c r="D314" s="10"/>
      <c r="E314" s="10"/>
      <c r="F314" s="10"/>
      <c r="G314" s="10"/>
      <c r="H314" s="10"/>
      <c r="I314" s="10"/>
      <c r="J314" s="10"/>
    </row>
    <row r="315" spans="1:10" ht="18" x14ac:dyDescent="0.2">
      <c r="A315" s="10"/>
      <c r="B315" s="10"/>
      <c r="C315" s="10"/>
      <c r="D315" s="10"/>
      <c r="E315" s="10"/>
      <c r="F315" s="10"/>
      <c r="G315" s="10"/>
      <c r="H315" s="10"/>
      <c r="I315" s="10"/>
      <c r="J315" s="10"/>
    </row>
    <row r="316" spans="1:10" ht="18" x14ac:dyDescent="0.2">
      <c r="A316" s="10"/>
      <c r="B316" s="10"/>
      <c r="C316" s="10"/>
      <c r="D316" s="10"/>
      <c r="E316" s="10"/>
      <c r="F316" s="10"/>
      <c r="G316" s="10"/>
      <c r="H316" s="10"/>
      <c r="I316" s="10"/>
      <c r="J316" s="10"/>
    </row>
    <row r="317" spans="1:10" ht="18" x14ac:dyDescent="0.2">
      <c r="A317" s="10"/>
      <c r="B317" s="10"/>
      <c r="C317" s="10"/>
      <c r="D317" s="10"/>
      <c r="E317" s="10"/>
      <c r="F317" s="10"/>
      <c r="G317" s="10"/>
      <c r="H317" s="10"/>
      <c r="I317" s="10"/>
      <c r="J317" s="10"/>
    </row>
    <row r="318" spans="1:10" ht="18" x14ac:dyDescent="0.2">
      <c r="A318" s="10"/>
      <c r="B318" s="10"/>
      <c r="C318" s="10"/>
      <c r="D318" s="10"/>
      <c r="E318" s="10"/>
      <c r="F318" s="10"/>
      <c r="G318" s="10"/>
      <c r="H318" s="10"/>
      <c r="I318" s="10"/>
      <c r="J318" s="10"/>
    </row>
    <row r="319" spans="1:10" ht="18" x14ac:dyDescent="0.2">
      <c r="A319" s="10"/>
      <c r="B319" s="10"/>
      <c r="C319" s="10"/>
      <c r="D319" s="10"/>
      <c r="E319" s="10"/>
      <c r="F319" s="10"/>
      <c r="G319" s="10"/>
      <c r="H319" s="10"/>
      <c r="I319" s="10"/>
      <c r="J319" s="10"/>
    </row>
    <row r="320" spans="1:10" ht="18" x14ac:dyDescent="0.2">
      <c r="A320" s="10"/>
      <c r="B320" s="10"/>
      <c r="C320" s="10"/>
      <c r="D320" s="10"/>
      <c r="E320" s="10"/>
      <c r="F320" s="10"/>
      <c r="G320" s="10"/>
      <c r="H320" s="10"/>
      <c r="I320" s="10"/>
      <c r="J320" s="10"/>
    </row>
    <row r="321" spans="1:10" ht="18" x14ac:dyDescent="0.2">
      <c r="A321" s="10"/>
      <c r="B321" s="10"/>
      <c r="C321" s="10"/>
      <c r="D321" s="10"/>
      <c r="E321" s="10"/>
      <c r="F321" s="10"/>
      <c r="G321" s="10"/>
      <c r="H321" s="10"/>
      <c r="I321" s="10"/>
      <c r="J321" s="10"/>
    </row>
    <row r="322" spans="1:10" ht="18" x14ac:dyDescent="0.2">
      <c r="A322" s="10"/>
      <c r="B322" s="10"/>
      <c r="C322" s="10"/>
      <c r="D322" s="10"/>
      <c r="E322" s="10"/>
      <c r="F322" s="10"/>
      <c r="G322" s="10"/>
      <c r="H322" s="10"/>
      <c r="I322" s="10"/>
      <c r="J322" s="10"/>
    </row>
    <row r="323" spans="1:10" ht="18" x14ac:dyDescent="0.2">
      <c r="A323" s="10"/>
      <c r="B323" s="10"/>
      <c r="C323" s="10"/>
      <c r="D323" s="10"/>
      <c r="E323" s="10"/>
      <c r="F323" s="10"/>
      <c r="G323" s="10"/>
      <c r="H323" s="10"/>
      <c r="I323" s="10"/>
      <c r="J323" s="10"/>
    </row>
    <row r="324" spans="1:10" ht="18" x14ac:dyDescent="0.2">
      <c r="A324" s="10"/>
      <c r="B324" s="10"/>
      <c r="C324" s="10"/>
      <c r="D324" s="10"/>
      <c r="E324" s="10"/>
      <c r="F324" s="10"/>
      <c r="G324" s="10"/>
      <c r="H324" s="10"/>
      <c r="I324" s="10"/>
      <c r="J324" s="10"/>
    </row>
    <row r="325" spans="1:10" ht="18" x14ac:dyDescent="0.2">
      <c r="A325" s="10"/>
      <c r="B325" s="10"/>
      <c r="C325" s="10"/>
      <c r="D325" s="10"/>
      <c r="E325" s="10"/>
      <c r="F325" s="10"/>
      <c r="G325" s="10"/>
      <c r="H325" s="10"/>
      <c r="I325" s="10"/>
      <c r="J325" s="10"/>
    </row>
    <row r="326" spans="1:10" ht="18" x14ac:dyDescent="0.2">
      <c r="A326" s="10"/>
      <c r="B326" s="10"/>
      <c r="C326" s="10"/>
      <c r="D326" s="10"/>
      <c r="E326" s="10"/>
      <c r="F326" s="10"/>
      <c r="G326" s="10"/>
      <c r="H326" s="10"/>
      <c r="I326" s="10"/>
      <c r="J326" s="10"/>
    </row>
    <row r="327" spans="1:10" ht="18" x14ac:dyDescent="0.2">
      <c r="A327" s="10"/>
      <c r="B327" s="10"/>
      <c r="C327" s="10"/>
      <c r="D327" s="10"/>
      <c r="E327" s="10"/>
      <c r="F327" s="10"/>
      <c r="G327" s="10"/>
      <c r="H327" s="10"/>
      <c r="I327" s="10"/>
      <c r="J327" s="10"/>
    </row>
    <row r="328" spans="1:10" ht="18" x14ac:dyDescent="0.2">
      <c r="A328" s="10"/>
      <c r="B328" s="10"/>
      <c r="C328" s="10"/>
      <c r="D328" s="10"/>
      <c r="E328" s="10"/>
      <c r="F328" s="10"/>
      <c r="G328" s="10"/>
      <c r="H328" s="10"/>
      <c r="I328" s="10"/>
      <c r="J328" s="10"/>
    </row>
    <row r="329" spans="1:10" ht="18" x14ac:dyDescent="0.2">
      <c r="A329" s="10"/>
      <c r="B329" s="10"/>
      <c r="C329" s="10"/>
      <c r="D329" s="10"/>
      <c r="E329" s="10"/>
      <c r="F329" s="10"/>
      <c r="G329" s="10"/>
      <c r="H329" s="10"/>
      <c r="I329" s="10"/>
      <c r="J329" s="10"/>
    </row>
    <row r="330" spans="1:10" ht="18" x14ac:dyDescent="0.2">
      <c r="A330" s="10"/>
      <c r="B330" s="10"/>
      <c r="C330" s="10"/>
      <c r="D330" s="10"/>
      <c r="E330" s="10"/>
      <c r="F330" s="10"/>
      <c r="G330" s="10"/>
      <c r="H330" s="10"/>
      <c r="I330" s="10"/>
      <c r="J330" s="10"/>
    </row>
    <row r="331" spans="1:10" ht="18" x14ac:dyDescent="0.2">
      <c r="A331" s="10"/>
      <c r="B331" s="10"/>
      <c r="C331" s="10"/>
      <c r="D331" s="10"/>
      <c r="E331" s="10"/>
      <c r="F331" s="10"/>
      <c r="G331" s="10"/>
      <c r="H331" s="10"/>
      <c r="I331" s="10"/>
      <c r="J331" s="10"/>
    </row>
    <row r="332" spans="1:10" ht="18" x14ac:dyDescent="0.2">
      <c r="A332" s="10"/>
      <c r="B332" s="10"/>
      <c r="C332" s="10"/>
      <c r="D332" s="10"/>
      <c r="E332" s="10"/>
      <c r="F332" s="10"/>
      <c r="G332" s="10"/>
      <c r="H332" s="10"/>
      <c r="I332" s="10"/>
      <c r="J332" s="10"/>
    </row>
    <row r="333" spans="1:10" ht="18" x14ac:dyDescent="0.2">
      <c r="A333" s="10"/>
      <c r="B333" s="10"/>
      <c r="C333" s="10"/>
      <c r="D333" s="10"/>
      <c r="E333" s="10"/>
      <c r="F333" s="10"/>
      <c r="G333" s="10"/>
      <c r="H333" s="10"/>
      <c r="I333" s="10"/>
      <c r="J333" s="10"/>
    </row>
    <row r="334" spans="1:10" ht="18" x14ac:dyDescent="0.2">
      <c r="A334" s="10"/>
      <c r="B334" s="10"/>
      <c r="C334" s="10"/>
      <c r="D334" s="10"/>
      <c r="E334" s="10"/>
      <c r="F334" s="10"/>
      <c r="G334" s="10"/>
      <c r="H334" s="10"/>
      <c r="I334" s="10"/>
      <c r="J334" s="10"/>
    </row>
    <row r="335" spans="1:10" ht="18" x14ac:dyDescent="0.2">
      <c r="A335" s="10"/>
      <c r="B335" s="10"/>
      <c r="C335" s="10"/>
      <c r="D335" s="10"/>
      <c r="E335" s="10"/>
      <c r="F335" s="10"/>
      <c r="G335" s="10"/>
      <c r="H335" s="10"/>
      <c r="I335" s="10"/>
      <c r="J335" s="10"/>
    </row>
    <row r="336" spans="1:10" ht="18" x14ac:dyDescent="0.2">
      <c r="A336" s="10"/>
      <c r="B336" s="10"/>
      <c r="C336" s="10"/>
      <c r="D336" s="10"/>
      <c r="E336" s="10"/>
      <c r="F336" s="10"/>
      <c r="G336" s="10"/>
      <c r="H336" s="10"/>
      <c r="I336" s="10"/>
      <c r="J336" s="10"/>
    </row>
    <row r="337" spans="1:10" ht="18" x14ac:dyDescent="0.2">
      <c r="A337" s="10"/>
      <c r="B337" s="10"/>
      <c r="C337" s="10"/>
      <c r="D337" s="10"/>
      <c r="E337" s="10"/>
      <c r="F337" s="10"/>
      <c r="G337" s="10"/>
      <c r="H337" s="10"/>
      <c r="I337" s="10"/>
      <c r="J337" s="10"/>
    </row>
    <row r="338" spans="1:10" ht="18" x14ac:dyDescent="0.2">
      <c r="A338" s="10"/>
      <c r="B338" s="10"/>
      <c r="C338" s="10"/>
      <c r="D338" s="10"/>
      <c r="E338" s="10"/>
      <c r="F338" s="10"/>
      <c r="G338" s="10"/>
      <c r="H338" s="10"/>
      <c r="I338" s="10"/>
      <c r="J338" s="10"/>
    </row>
    <row r="339" spans="1:10" ht="18" x14ac:dyDescent="0.2">
      <c r="A339" s="10"/>
      <c r="B339" s="10"/>
      <c r="C339" s="10"/>
      <c r="D339" s="10"/>
      <c r="E339" s="10"/>
      <c r="F339" s="10"/>
      <c r="G339" s="10"/>
      <c r="H339" s="10"/>
      <c r="I339" s="10"/>
      <c r="J339" s="10"/>
    </row>
    <row r="340" spans="1:10" ht="18" x14ac:dyDescent="0.2">
      <c r="A340" s="10"/>
      <c r="B340" s="10"/>
      <c r="C340" s="10"/>
      <c r="D340" s="10"/>
      <c r="E340" s="10"/>
      <c r="F340" s="10"/>
      <c r="G340" s="10"/>
      <c r="H340" s="10"/>
      <c r="I340" s="10"/>
      <c r="J340" s="10"/>
    </row>
    <row r="341" spans="1:10" ht="18" x14ac:dyDescent="0.2">
      <c r="A341" s="10"/>
      <c r="B341" s="10"/>
      <c r="C341" s="10"/>
      <c r="D341" s="10"/>
      <c r="E341" s="10"/>
      <c r="F341" s="10"/>
      <c r="G341" s="10"/>
      <c r="H341" s="10"/>
      <c r="I341" s="10"/>
      <c r="J341" s="10"/>
    </row>
    <row r="342" spans="1:10" ht="18" x14ac:dyDescent="0.2">
      <c r="A342" s="10"/>
      <c r="B342" s="10"/>
      <c r="C342" s="10"/>
      <c r="D342" s="10"/>
      <c r="E342" s="10"/>
      <c r="F342" s="10"/>
      <c r="G342" s="10"/>
      <c r="H342" s="10"/>
      <c r="I342" s="10"/>
      <c r="J342" s="10"/>
    </row>
    <row r="343" spans="1:10" ht="18" x14ac:dyDescent="0.2">
      <c r="A343" s="10"/>
      <c r="B343" s="10"/>
      <c r="C343" s="10"/>
      <c r="D343" s="10"/>
      <c r="E343" s="10"/>
      <c r="F343" s="10"/>
      <c r="G343" s="10"/>
      <c r="H343" s="10"/>
      <c r="I343" s="10"/>
      <c r="J343" s="10"/>
    </row>
    <row r="344" spans="1:10" ht="18" x14ac:dyDescent="0.2">
      <c r="A344" s="10"/>
      <c r="B344" s="10"/>
      <c r="C344" s="10"/>
      <c r="D344" s="10"/>
      <c r="E344" s="10"/>
      <c r="F344" s="10"/>
      <c r="G344" s="10"/>
      <c r="H344" s="10"/>
      <c r="I344" s="10"/>
      <c r="J344" s="10"/>
    </row>
    <row r="345" spans="1:10" ht="18" x14ac:dyDescent="0.2">
      <c r="A345" s="10"/>
      <c r="B345" s="10"/>
      <c r="C345" s="10"/>
      <c r="D345" s="10"/>
      <c r="E345" s="10"/>
      <c r="F345" s="10"/>
      <c r="G345" s="10"/>
      <c r="H345" s="10"/>
      <c r="I345" s="10"/>
      <c r="J345" s="10"/>
    </row>
    <row r="346" spans="1:10" ht="18" x14ac:dyDescent="0.2">
      <c r="A346" s="10"/>
      <c r="B346" s="10"/>
      <c r="C346" s="10"/>
      <c r="D346" s="10"/>
      <c r="E346" s="10"/>
      <c r="F346" s="10"/>
      <c r="G346" s="10"/>
      <c r="H346" s="10"/>
      <c r="I346" s="10"/>
      <c r="J346" s="10"/>
    </row>
    <row r="347" spans="1:10" ht="18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</row>
    <row r="348" spans="1:10" ht="18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</row>
    <row r="349" spans="1:10" ht="18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</row>
    <row r="350" spans="1:10" ht="18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</row>
    <row r="351" spans="1:10" ht="18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</row>
    <row r="352" spans="1:10" ht="18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</row>
    <row r="353" spans="1:10" ht="18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</row>
    <row r="354" spans="1:10" ht="18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</row>
    <row r="355" spans="1:10" ht="18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</row>
    <row r="356" spans="1:10" ht="18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</row>
    <row r="357" spans="1:10" ht="18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</row>
    <row r="358" spans="1:10" ht="18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</row>
    <row r="359" spans="1:10" ht="18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</row>
    <row r="360" spans="1:10" ht="18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</row>
    <row r="361" spans="1:10" ht="18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</row>
    <row r="362" spans="1:10" ht="18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</row>
    <row r="363" spans="1:10" ht="18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</row>
    <row r="364" spans="1:10" ht="18" x14ac:dyDescent="0.2">
      <c r="A364" s="10"/>
      <c r="B364" s="10"/>
      <c r="C364" s="10"/>
      <c r="D364" s="10"/>
      <c r="E364" s="10"/>
      <c r="F364" s="10"/>
      <c r="G364" s="10"/>
      <c r="H364" s="10"/>
      <c r="I364" s="10"/>
      <c r="J364" s="10"/>
    </row>
    <row r="365" spans="1:10" ht="18" x14ac:dyDescent="0.2">
      <c r="A365" s="10"/>
      <c r="B365" s="10"/>
      <c r="C365" s="10"/>
      <c r="D365" s="10"/>
      <c r="E365" s="10"/>
      <c r="F365" s="10"/>
      <c r="G365" s="10"/>
      <c r="H365" s="10"/>
      <c r="I365" s="10"/>
      <c r="J365" s="10"/>
    </row>
    <row r="366" spans="1:10" ht="18" x14ac:dyDescent="0.2">
      <c r="A366" s="10"/>
      <c r="B366" s="10"/>
      <c r="C366" s="10"/>
      <c r="D366" s="10"/>
      <c r="E366" s="10"/>
      <c r="F366" s="10"/>
      <c r="G366" s="10"/>
      <c r="H366" s="10"/>
      <c r="I366" s="10"/>
      <c r="J366" s="10"/>
    </row>
    <row r="367" spans="1:10" ht="18" x14ac:dyDescent="0.2">
      <c r="A367" s="10"/>
      <c r="B367" s="10"/>
      <c r="C367" s="10"/>
      <c r="D367" s="10"/>
      <c r="E367" s="10"/>
      <c r="F367" s="10"/>
      <c r="G367" s="10"/>
      <c r="H367" s="10"/>
      <c r="I367" s="10"/>
      <c r="J367" s="10"/>
    </row>
    <row r="368" spans="1:10" ht="18" x14ac:dyDescent="0.2">
      <c r="A368" s="10"/>
      <c r="B368" s="10"/>
      <c r="C368" s="10"/>
      <c r="D368" s="10"/>
      <c r="E368" s="10"/>
      <c r="F368" s="10"/>
      <c r="G368" s="10"/>
      <c r="H368" s="10"/>
      <c r="I368" s="10"/>
      <c r="J368" s="10"/>
    </row>
    <row r="369" spans="1:10" ht="18" x14ac:dyDescent="0.2">
      <c r="A369" s="10"/>
      <c r="B369" s="10"/>
      <c r="C369" s="10"/>
      <c r="D369" s="10"/>
      <c r="E369" s="10"/>
      <c r="F369" s="10"/>
      <c r="G369" s="10"/>
      <c r="H369" s="10"/>
      <c r="I369" s="10"/>
      <c r="J369" s="10"/>
    </row>
    <row r="370" spans="1:10" ht="18" x14ac:dyDescent="0.2">
      <c r="A370" s="10"/>
      <c r="B370" s="10"/>
      <c r="C370" s="10"/>
      <c r="D370" s="10"/>
      <c r="E370" s="10"/>
      <c r="F370" s="10"/>
      <c r="G370" s="10"/>
      <c r="H370" s="10"/>
      <c r="I370" s="10"/>
      <c r="J370" s="10"/>
    </row>
    <row r="371" spans="1:10" ht="18" x14ac:dyDescent="0.2">
      <c r="A371" s="10"/>
      <c r="B371" s="10"/>
      <c r="C371" s="10"/>
      <c r="D371" s="10"/>
      <c r="E371" s="10"/>
      <c r="F371" s="10"/>
      <c r="G371" s="10"/>
      <c r="H371" s="10"/>
      <c r="I371" s="10"/>
      <c r="J371" s="10"/>
    </row>
    <row r="372" spans="1:10" ht="18" x14ac:dyDescent="0.2">
      <c r="A372" s="10"/>
      <c r="B372" s="10"/>
      <c r="C372" s="10"/>
      <c r="D372" s="10"/>
      <c r="E372" s="10"/>
      <c r="F372" s="10"/>
      <c r="G372" s="10"/>
      <c r="H372" s="10"/>
      <c r="I372" s="10"/>
      <c r="J372" s="10"/>
    </row>
    <row r="373" spans="1:10" ht="18" x14ac:dyDescent="0.2">
      <c r="A373" s="10"/>
      <c r="B373" s="10"/>
      <c r="C373" s="10"/>
      <c r="D373" s="10"/>
      <c r="E373" s="10"/>
      <c r="F373" s="10"/>
      <c r="G373" s="10"/>
      <c r="H373" s="10"/>
      <c r="I373" s="10"/>
      <c r="J373" s="10"/>
    </row>
    <row r="374" spans="1:10" ht="18" x14ac:dyDescent="0.2">
      <c r="A374" s="10"/>
      <c r="B374" s="10"/>
      <c r="C374" s="10"/>
      <c r="D374" s="10"/>
      <c r="E374" s="10"/>
      <c r="F374" s="10"/>
      <c r="G374" s="10"/>
      <c r="H374" s="10"/>
      <c r="I374" s="10"/>
      <c r="J374" s="10"/>
    </row>
    <row r="375" spans="1:10" ht="18" x14ac:dyDescent="0.2">
      <c r="A375" s="10"/>
      <c r="B375" s="10"/>
      <c r="C375" s="10"/>
      <c r="D375" s="10"/>
      <c r="E375" s="10"/>
      <c r="F375" s="10"/>
      <c r="G375" s="10"/>
      <c r="H375" s="10"/>
      <c r="I375" s="10"/>
      <c r="J375" s="10"/>
    </row>
    <row r="376" spans="1:10" ht="18" x14ac:dyDescent="0.2">
      <c r="A376" s="10"/>
      <c r="B376" s="10"/>
      <c r="C376" s="10"/>
      <c r="D376" s="10"/>
      <c r="E376" s="10"/>
      <c r="F376" s="10"/>
      <c r="G376" s="10"/>
      <c r="H376" s="10"/>
      <c r="I376" s="10"/>
      <c r="J376" s="10"/>
    </row>
    <row r="377" spans="1:10" ht="18" x14ac:dyDescent="0.2">
      <c r="A377" s="10"/>
      <c r="B377" s="10"/>
      <c r="C377" s="10"/>
      <c r="D377" s="10"/>
      <c r="E377" s="10"/>
      <c r="F377" s="10"/>
      <c r="G377" s="10"/>
      <c r="H377" s="10"/>
      <c r="I377" s="10"/>
      <c r="J377" s="10"/>
    </row>
    <row r="378" spans="1:10" ht="18" x14ac:dyDescent="0.2">
      <c r="A378" s="10"/>
      <c r="B378" s="10"/>
      <c r="C378" s="10"/>
      <c r="D378" s="10"/>
      <c r="E378" s="10"/>
      <c r="F378" s="10"/>
      <c r="G378" s="10"/>
      <c r="H378" s="10"/>
      <c r="I378" s="10"/>
      <c r="J378" s="10"/>
    </row>
    <row r="379" spans="1:10" ht="18" x14ac:dyDescent="0.2">
      <c r="A379" s="10"/>
      <c r="B379" s="10"/>
      <c r="C379" s="10"/>
      <c r="D379" s="10"/>
      <c r="E379" s="10"/>
      <c r="F379" s="10"/>
      <c r="G379" s="10"/>
      <c r="H379" s="10"/>
      <c r="I379" s="10"/>
      <c r="J379" s="10"/>
    </row>
    <row r="380" spans="1:10" ht="18" x14ac:dyDescent="0.2">
      <c r="A380" s="10"/>
      <c r="B380" s="10"/>
      <c r="C380" s="10"/>
      <c r="D380" s="10"/>
      <c r="E380" s="10"/>
      <c r="F380" s="10"/>
      <c r="G380" s="10"/>
      <c r="H380" s="10"/>
      <c r="I380" s="10"/>
      <c r="J380" s="10"/>
    </row>
    <row r="381" spans="1:10" ht="18" x14ac:dyDescent="0.2">
      <c r="A381" s="10"/>
      <c r="B381" s="10"/>
      <c r="C381" s="10"/>
      <c r="D381" s="10"/>
      <c r="E381" s="10"/>
      <c r="F381" s="10"/>
      <c r="G381" s="10"/>
      <c r="H381" s="10"/>
      <c r="I381" s="10"/>
      <c r="J381" s="10"/>
    </row>
    <row r="382" spans="1:10" ht="18" x14ac:dyDescent="0.2">
      <c r="A382" s="10"/>
      <c r="B382" s="10"/>
      <c r="C382" s="10"/>
      <c r="D382" s="10"/>
      <c r="E382" s="10"/>
      <c r="F382" s="10"/>
      <c r="G382" s="10"/>
      <c r="H382" s="10"/>
      <c r="I382" s="10"/>
      <c r="J382" s="10"/>
    </row>
    <row r="383" spans="1:10" ht="18" x14ac:dyDescent="0.2">
      <c r="A383" s="10"/>
      <c r="B383" s="10"/>
      <c r="C383" s="10"/>
      <c r="D383" s="10"/>
      <c r="E383" s="10"/>
      <c r="F383" s="10"/>
      <c r="G383" s="10"/>
      <c r="H383" s="10"/>
      <c r="I383" s="10"/>
      <c r="J383" s="10"/>
    </row>
    <row r="384" spans="1:10" ht="18" x14ac:dyDescent="0.2">
      <c r="A384" s="10"/>
      <c r="B384" s="10"/>
      <c r="C384" s="10"/>
      <c r="D384" s="10"/>
      <c r="E384" s="10"/>
      <c r="F384" s="10"/>
      <c r="G384" s="10"/>
      <c r="H384" s="10"/>
      <c r="I384" s="10"/>
      <c r="J384" s="10"/>
    </row>
    <row r="385" spans="1:10" ht="18" x14ac:dyDescent="0.2">
      <c r="A385" s="10"/>
      <c r="B385" s="10"/>
      <c r="C385" s="10"/>
      <c r="D385" s="10"/>
      <c r="E385" s="10"/>
      <c r="F385" s="10"/>
      <c r="G385" s="10"/>
      <c r="H385" s="10"/>
      <c r="I385" s="10"/>
      <c r="J385" s="10"/>
    </row>
    <row r="386" spans="1:10" ht="18" x14ac:dyDescent="0.2">
      <c r="A386" s="10"/>
      <c r="B386" s="10"/>
      <c r="C386" s="10"/>
      <c r="D386" s="10"/>
      <c r="E386" s="10"/>
      <c r="F386" s="10"/>
      <c r="G386" s="10"/>
      <c r="H386" s="10"/>
      <c r="I386" s="10"/>
      <c r="J386" s="10"/>
    </row>
    <row r="387" spans="1:10" ht="18" x14ac:dyDescent="0.2">
      <c r="A387" s="10"/>
      <c r="B387" s="10"/>
      <c r="C387" s="10"/>
      <c r="D387" s="10"/>
      <c r="E387" s="10"/>
      <c r="F387" s="10"/>
      <c r="G387" s="10"/>
      <c r="H387" s="10"/>
      <c r="I387" s="10"/>
      <c r="J387" s="10"/>
    </row>
    <row r="388" spans="1:10" ht="18" x14ac:dyDescent="0.2">
      <c r="A388" s="10"/>
      <c r="B388" s="10"/>
      <c r="C388" s="10"/>
      <c r="D388" s="10"/>
      <c r="E388" s="10"/>
      <c r="F388" s="10"/>
      <c r="G388" s="10"/>
      <c r="H388" s="10"/>
      <c r="I388" s="10"/>
      <c r="J388" s="10"/>
    </row>
    <row r="389" spans="1:10" ht="18" x14ac:dyDescent="0.2">
      <c r="A389" s="10"/>
      <c r="B389" s="10"/>
      <c r="C389" s="10"/>
      <c r="D389" s="10"/>
      <c r="E389" s="10"/>
      <c r="F389" s="10"/>
      <c r="G389" s="10"/>
      <c r="H389" s="10"/>
      <c r="I389" s="10"/>
      <c r="J389" s="10"/>
    </row>
    <row r="390" spans="1:10" ht="18" x14ac:dyDescent="0.2">
      <c r="A390" s="10"/>
      <c r="B390" s="10"/>
      <c r="C390" s="10"/>
      <c r="D390" s="10"/>
      <c r="E390" s="10"/>
      <c r="F390" s="10"/>
      <c r="G390" s="10"/>
      <c r="H390" s="10"/>
      <c r="I390" s="10"/>
      <c r="J390" s="10"/>
    </row>
    <row r="391" spans="1:10" ht="18" x14ac:dyDescent="0.2">
      <c r="A391" s="10"/>
      <c r="B391" s="10"/>
      <c r="C391" s="10"/>
      <c r="D391" s="10"/>
      <c r="E391" s="10"/>
      <c r="F391" s="10"/>
      <c r="G391" s="10"/>
      <c r="H391" s="10"/>
      <c r="I391" s="10"/>
      <c r="J391" s="10"/>
    </row>
    <row r="392" spans="1:10" ht="18" x14ac:dyDescent="0.2">
      <c r="A392" s="10"/>
      <c r="B392" s="10"/>
      <c r="C392" s="10"/>
      <c r="D392" s="10"/>
      <c r="E392" s="10"/>
      <c r="F392" s="10"/>
      <c r="G392" s="10"/>
      <c r="H392" s="10"/>
      <c r="I392" s="10"/>
      <c r="J392" s="10"/>
    </row>
    <row r="393" spans="1:10" ht="18" x14ac:dyDescent="0.2">
      <c r="A393" s="10"/>
      <c r="B393" s="10"/>
      <c r="C393" s="10"/>
      <c r="D393" s="10"/>
      <c r="E393" s="10"/>
      <c r="F393" s="10"/>
      <c r="G393" s="10"/>
      <c r="H393" s="10"/>
      <c r="I393" s="10"/>
      <c r="J393" s="10"/>
    </row>
    <row r="394" spans="1:10" ht="18" x14ac:dyDescent="0.2">
      <c r="A394" s="10"/>
      <c r="B394" s="10"/>
      <c r="C394" s="10"/>
      <c r="D394" s="10"/>
      <c r="E394" s="10"/>
      <c r="F394" s="10"/>
      <c r="G394" s="10"/>
      <c r="H394" s="10"/>
      <c r="I394" s="10"/>
      <c r="J394" s="10"/>
    </row>
    <row r="395" spans="1:10" ht="18" x14ac:dyDescent="0.2">
      <c r="A395" s="10"/>
      <c r="B395" s="10"/>
      <c r="C395" s="10"/>
      <c r="D395" s="10"/>
      <c r="E395" s="10"/>
      <c r="F395" s="10"/>
      <c r="G395" s="10"/>
      <c r="H395" s="10"/>
      <c r="I395" s="10"/>
      <c r="J395" s="10"/>
    </row>
    <row r="396" spans="1:10" ht="18" x14ac:dyDescent="0.2">
      <c r="A396" s="10"/>
      <c r="B396" s="10"/>
      <c r="C396" s="10"/>
      <c r="D396" s="10"/>
      <c r="E396" s="10"/>
      <c r="F396" s="10"/>
      <c r="G396" s="10"/>
      <c r="H396" s="10"/>
      <c r="I396" s="10"/>
      <c r="J396" s="10"/>
    </row>
    <row r="397" spans="1:10" ht="18" x14ac:dyDescent="0.2">
      <c r="A397" s="10"/>
      <c r="B397" s="10"/>
      <c r="C397" s="10"/>
      <c r="D397" s="10"/>
      <c r="E397" s="10"/>
      <c r="F397" s="10"/>
      <c r="G397" s="10"/>
      <c r="H397" s="10"/>
      <c r="I397" s="10"/>
      <c r="J397" s="10"/>
    </row>
    <row r="398" spans="1:10" ht="18" x14ac:dyDescent="0.2">
      <c r="A398" s="10"/>
      <c r="B398" s="10"/>
      <c r="C398" s="10"/>
      <c r="D398" s="10"/>
      <c r="E398" s="10"/>
      <c r="F398" s="10"/>
      <c r="G398" s="10"/>
      <c r="H398" s="10"/>
      <c r="I398" s="10"/>
      <c r="J398" s="10"/>
    </row>
    <row r="399" spans="1:10" ht="18" x14ac:dyDescent="0.2">
      <c r="A399" s="10"/>
      <c r="B399" s="10"/>
      <c r="C399" s="10"/>
      <c r="D399" s="10"/>
      <c r="E399" s="10"/>
      <c r="F399" s="10"/>
      <c r="G399" s="10"/>
      <c r="H399" s="10"/>
      <c r="I399" s="10"/>
      <c r="J399" s="10"/>
    </row>
    <row r="400" spans="1:10" ht="18" x14ac:dyDescent="0.2">
      <c r="A400" s="10"/>
      <c r="B400" s="10"/>
      <c r="C400" s="10"/>
      <c r="D400" s="10"/>
      <c r="E400" s="10"/>
      <c r="F400" s="10"/>
      <c r="G400" s="10"/>
      <c r="H400" s="10"/>
      <c r="I400" s="10"/>
      <c r="J400" s="10"/>
    </row>
    <row r="401" spans="1:10" ht="18" x14ac:dyDescent="0.2">
      <c r="A401" s="10"/>
      <c r="B401" s="10"/>
      <c r="C401" s="10"/>
      <c r="D401" s="10"/>
      <c r="E401" s="10"/>
      <c r="F401" s="10"/>
      <c r="G401" s="10"/>
      <c r="H401" s="10"/>
      <c r="I401" s="10"/>
      <c r="J401" s="10"/>
    </row>
    <row r="402" spans="1:10" ht="18" x14ac:dyDescent="0.2">
      <c r="A402" s="10"/>
      <c r="B402" s="10"/>
      <c r="C402" s="10"/>
      <c r="D402" s="10"/>
      <c r="E402" s="10"/>
      <c r="F402" s="10"/>
      <c r="G402" s="10"/>
      <c r="H402" s="10"/>
      <c r="I402" s="10"/>
      <c r="J402" s="10"/>
    </row>
    <row r="403" spans="1:10" ht="18" x14ac:dyDescent="0.2">
      <c r="A403" s="10"/>
      <c r="B403" s="10"/>
      <c r="C403" s="10"/>
      <c r="D403" s="10"/>
      <c r="E403" s="10"/>
      <c r="F403" s="10"/>
      <c r="G403" s="10"/>
      <c r="H403" s="10"/>
      <c r="I403" s="10"/>
      <c r="J403" s="10"/>
    </row>
    <row r="404" spans="1:10" ht="18" x14ac:dyDescent="0.2">
      <c r="A404" s="10"/>
      <c r="B404" s="10"/>
      <c r="C404" s="10"/>
      <c r="D404" s="10"/>
      <c r="E404" s="10"/>
      <c r="F404" s="10"/>
      <c r="G404" s="10"/>
      <c r="H404" s="10"/>
      <c r="I404" s="10"/>
      <c r="J404" s="10"/>
    </row>
    <row r="405" spans="1:10" ht="18" x14ac:dyDescent="0.2">
      <c r="A405" s="10"/>
      <c r="B405" s="10"/>
      <c r="C405" s="10"/>
      <c r="D405" s="10"/>
      <c r="E405" s="10"/>
      <c r="F405" s="10"/>
      <c r="G405" s="10"/>
      <c r="H405" s="10"/>
      <c r="I405" s="10"/>
      <c r="J405" s="10"/>
    </row>
    <row r="406" spans="1:10" ht="18" x14ac:dyDescent="0.2">
      <c r="A406" s="10"/>
      <c r="B406" s="10"/>
      <c r="C406" s="10"/>
      <c r="D406" s="10"/>
      <c r="E406" s="10"/>
      <c r="F406" s="10"/>
      <c r="G406" s="10"/>
      <c r="H406" s="10"/>
      <c r="I406" s="10"/>
      <c r="J406" s="10"/>
    </row>
    <row r="407" spans="1:10" ht="18" x14ac:dyDescent="0.2">
      <c r="A407" s="10"/>
      <c r="B407" s="10"/>
      <c r="C407" s="10"/>
      <c r="D407" s="10"/>
      <c r="E407" s="10"/>
      <c r="F407" s="10"/>
      <c r="G407" s="10"/>
      <c r="H407" s="10"/>
      <c r="I407" s="10"/>
      <c r="J407" s="10"/>
    </row>
    <row r="408" spans="1:10" ht="18" x14ac:dyDescent="0.2">
      <c r="A408" s="10"/>
      <c r="B408" s="10"/>
      <c r="C408" s="10"/>
      <c r="D408" s="10"/>
      <c r="E408" s="10"/>
      <c r="F408" s="10"/>
      <c r="G408" s="10"/>
      <c r="H408" s="10"/>
      <c r="I408" s="10"/>
      <c r="J408" s="10"/>
    </row>
    <row r="409" spans="1:10" ht="18" x14ac:dyDescent="0.2">
      <c r="A409" s="10"/>
      <c r="B409" s="10"/>
      <c r="C409" s="10"/>
      <c r="D409" s="10"/>
      <c r="E409" s="10"/>
      <c r="F409" s="10"/>
      <c r="G409" s="10"/>
      <c r="H409" s="10"/>
      <c r="I409" s="10"/>
      <c r="J409" s="10"/>
    </row>
    <row r="410" spans="1:10" ht="18" x14ac:dyDescent="0.2">
      <c r="A410" s="10"/>
      <c r="B410" s="10"/>
      <c r="C410" s="10"/>
      <c r="D410" s="10"/>
      <c r="E410" s="10"/>
      <c r="F410" s="10"/>
      <c r="G410" s="10"/>
      <c r="H410" s="10"/>
      <c r="I410" s="10"/>
      <c r="J410" s="10"/>
    </row>
    <row r="411" spans="1:10" ht="18" x14ac:dyDescent="0.2">
      <c r="A411" s="10"/>
      <c r="B411" s="10"/>
      <c r="C411" s="10"/>
      <c r="D411" s="10"/>
      <c r="E411" s="10"/>
      <c r="F411" s="10"/>
      <c r="G411" s="10"/>
      <c r="H411" s="10"/>
      <c r="I411" s="10"/>
      <c r="J411" s="10"/>
    </row>
    <row r="412" spans="1:10" ht="18" x14ac:dyDescent="0.2">
      <c r="A412" s="10"/>
      <c r="B412" s="10"/>
      <c r="C412" s="10"/>
      <c r="D412" s="10"/>
      <c r="E412" s="10"/>
      <c r="F412" s="10"/>
      <c r="G412" s="10"/>
      <c r="H412" s="10"/>
      <c r="I412" s="10"/>
      <c r="J412" s="10"/>
    </row>
    <row r="413" spans="1:10" ht="18" x14ac:dyDescent="0.2">
      <c r="A413" s="10"/>
      <c r="B413" s="10"/>
      <c r="C413" s="10"/>
      <c r="D413" s="10"/>
      <c r="E413" s="10"/>
      <c r="F413" s="10"/>
      <c r="G413" s="10"/>
      <c r="H413" s="10"/>
      <c r="I413" s="10"/>
      <c r="J413" s="10"/>
    </row>
    <row r="414" spans="1:10" ht="18" x14ac:dyDescent="0.2">
      <c r="A414" s="10"/>
      <c r="B414" s="10"/>
      <c r="C414" s="10"/>
      <c r="D414" s="10"/>
      <c r="E414" s="10"/>
      <c r="F414" s="10"/>
      <c r="G414" s="10"/>
      <c r="H414" s="10"/>
      <c r="I414" s="10"/>
      <c r="J414" s="10"/>
    </row>
    <row r="415" spans="1:10" ht="18" x14ac:dyDescent="0.2">
      <c r="A415" s="10"/>
      <c r="B415" s="10"/>
      <c r="C415" s="10"/>
      <c r="D415" s="10"/>
      <c r="E415" s="10"/>
      <c r="F415" s="10"/>
      <c r="G415" s="10"/>
      <c r="H415" s="10"/>
      <c r="I415" s="10"/>
      <c r="J415" s="10"/>
    </row>
    <row r="416" spans="1:10" ht="18" x14ac:dyDescent="0.2">
      <c r="A416" s="10"/>
      <c r="B416" s="10"/>
      <c r="C416" s="10"/>
      <c r="D416" s="10"/>
      <c r="E416" s="10"/>
      <c r="F416" s="10"/>
      <c r="G416" s="10"/>
      <c r="H416" s="10"/>
      <c r="I416" s="10"/>
      <c r="J416" s="10"/>
    </row>
    <row r="417" spans="1:10" ht="18" x14ac:dyDescent="0.2">
      <c r="A417" s="10"/>
      <c r="B417" s="10"/>
      <c r="C417" s="10"/>
      <c r="D417" s="10"/>
      <c r="E417" s="10"/>
      <c r="F417" s="10"/>
      <c r="G417" s="10"/>
      <c r="H417" s="10"/>
      <c r="I417" s="10"/>
      <c r="J417" s="10"/>
    </row>
    <row r="418" spans="1:10" ht="18" x14ac:dyDescent="0.2">
      <c r="A418" s="10"/>
      <c r="B418" s="10"/>
      <c r="C418" s="10"/>
      <c r="D418" s="10"/>
      <c r="E418" s="10"/>
      <c r="F418" s="10"/>
      <c r="G418" s="10"/>
      <c r="H418" s="10"/>
      <c r="I418" s="10"/>
      <c r="J418" s="10"/>
    </row>
    <row r="419" spans="1:10" ht="18" x14ac:dyDescent="0.2">
      <c r="A419" s="10"/>
      <c r="B419" s="10"/>
      <c r="C419" s="10"/>
      <c r="D419" s="10"/>
      <c r="E419" s="10"/>
      <c r="F419" s="10"/>
      <c r="G419" s="10"/>
      <c r="H419" s="10"/>
      <c r="I419" s="10"/>
      <c r="J419" s="10"/>
    </row>
    <row r="420" spans="1:10" ht="18" x14ac:dyDescent="0.2">
      <c r="A420" s="10"/>
      <c r="B420" s="10"/>
      <c r="C420" s="10"/>
      <c r="D420" s="10"/>
      <c r="E420" s="10"/>
      <c r="F420" s="10"/>
      <c r="G420" s="10"/>
      <c r="H420" s="10"/>
      <c r="I420" s="10"/>
      <c r="J420" s="10"/>
    </row>
    <row r="421" spans="1:10" ht="18" x14ac:dyDescent="0.2">
      <c r="A421" s="10"/>
      <c r="B421" s="10"/>
      <c r="C421" s="10"/>
      <c r="D421" s="10"/>
      <c r="E421" s="10"/>
      <c r="F421" s="10"/>
      <c r="G421" s="10"/>
      <c r="H421" s="10"/>
      <c r="I421" s="10"/>
      <c r="J421" s="10"/>
    </row>
    <row r="422" spans="1:10" ht="18" x14ac:dyDescent="0.2">
      <c r="A422" s="10"/>
      <c r="B422" s="10"/>
      <c r="C422" s="10"/>
      <c r="D422" s="10"/>
      <c r="E422" s="10"/>
      <c r="F422" s="10"/>
      <c r="G422" s="10"/>
      <c r="H422" s="10"/>
      <c r="I422" s="10"/>
      <c r="J422" s="10"/>
    </row>
    <row r="423" spans="1:10" ht="18" x14ac:dyDescent="0.2">
      <c r="A423" s="10"/>
      <c r="B423" s="10"/>
      <c r="C423" s="10"/>
      <c r="D423" s="10"/>
      <c r="E423" s="10"/>
      <c r="F423" s="10"/>
      <c r="G423" s="10"/>
      <c r="H423" s="10"/>
      <c r="I423" s="10"/>
      <c r="J423" s="10"/>
    </row>
    <row r="424" spans="1:10" ht="18" x14ac:dyDescent="0.2">
      <c r="A424" s="10"/>
      <c r="B424" s="10"/>
      <c r="C424" s="10"/>
      <c r="D424" s="10"/>
      <c r="E424" s="10"/>
      <c r="F424" s="10"/>
      <c r="G424" s="10"/>
      <c r="H424" s="10"/>
      <c r="I424" s="10"/>
      <c r="J424" s="10"/>
    </row>
    <row r="425" spans="1:10" ht="18" x14ac:dyDescent="0.2">
      <c r="A425" s="10"/>
      <c r="B425" s="10"/>
      <c r="C425" s="10"/>
      <c r="D425" s="10"/>
      <c r="E425" s="10"/>
      <c r="F425" s="10"/>
      <c r="G425" s="10"/>
      <c r="H425" s="10"/>
      <c r="I425" s="10"/>
      <c r="J425" s="10"/>
    </row>
    <row r="426" spans="1:10" ht="18" x14ac:dyDescent="0.2">
      <c r="A426" s="10"/>
      <c r="B426" s="10"/>
      <c r="C426" s="10"/>
      <c r="D426" s="10"/>
      <c r="E426" s="10"/>
      <c r="F426" s="10"/>
      <c r="G426" s="10"/>
      <c r="H426" s="10"/>
      <c r="I426" s="10"/>
      <c r="J426" s="10"/>
    </row>
    <row r="427" spans="1:10" ht="18" x14ac:dyDescent="0.2">
      <c r="A427" s="10"/>
      <c r="B427" s="10"/>
      <c r="C427" s="10"/>
      <c r="D427" s="10"/>
      <c r="E427" s="10"/>
      <c r="F427" s="10"/>
      <c r="G427" s="10"/>
      <c r="H427" s="10"/>
      <c r="I427" s="10"/>
      <c r="J427" s="10"/>
    </row>
    <row r="428" spans="1:10" ht="18" x14ac:dyDescent="0.2">
      <c r="A428" s="10"/>
      <c r="B428" s="10"/>
      <c r="C428" s="10"/>
      <c r="D428" s="10"/>
      <c r="E428" s="10"/>
      <c r="F428" s="10"/>
      <c r="G428" s="10"/>
      <c r="H428" s="10"/>
      <c r="I428" s="10"/>
      <c r="J428" s="10"/>
    </row>
    <row r="429" spans="1:10" ht="18" x14ac:dyDescent="0.2">
      <c r="A429" s="10"/>
      <c r="B429" s="10"/>
      <c r="C429" s="10"/>
      <c r="D429" s="10"/>
      <c r="E429" s="10"/>
      <c r="F429" s="10"/>
      <c r="G429" s="10"/>
      <c r="H429" s="10"/>
      <c r="I429" s="10"/>
      <c r="J429" s="10"/>
    </row>
    <row r="430" spans="1:10" ht="18" x14ac:dyDescent="0.2">
      <c r="A430" s="10"/>
      <c r="B430" s="10"/>
      <c r="C430" s="10"/>
      <c r="D430" s="10"/>
      <c r="E430" s="10"/>
      <c r="F430" s="10"/>
      <c r="G430" s="10"/>
      <c r="H430" s="10"/>
      <c r="I430" s="10"/>
      <c r="J430" s="10"/>
    </row>
    <row r="431" spans="1:10" ht="18" x14ac:dyDescent="0.2">
      <c r="A431" s="10"/>
      <c r="B431" s="10"/>
      <c r="C431" s="10"/>
      <c r="D431" s="10"/>
      <c r="E431" s="10"/>
      <c r="F431" s="10"/>
      <c r="G431" s="10"/>
      <c r="H431" s="10"/>
      <c r="I431" s="10"/>
      <c r="J431" s="10"/>
    </row>
    <row r="432" spans="1:10" ht="18" x14ac:dyDescent="0.2">
      <c r="A432" s="10"/>
      <c r="B432" s="10"/>
      <c r="C432" s="10"/>
      <c r="D432" s="10"/>
      <c r="E432" s="10"/>
      <c r="F432" s="10"/>
      <c r="G432" s="10"/>
      <c r="H432" s="10"/>
      <c r="I432" s="10"/>
      <c r="J432" s="10"/>
    </row>
    <row r="433" spans="1:10" ht="18" x14ac:dyDescent="0.2">
      <c r="A433" s="10"/>
      <c r="B433" s="10"/>
      <c r="C433" s="10"/>
      <c r="D433" s="10"/>
      <c r="E433" s="10"/>
      <c r="F433" s="10"/>
      <c r="G433" s="10"/>
      <c r="H433" s="10"/>
      <c r="I433" s="10"/>
      <c r="J433" s="10"/>
    </row>
    <row r="434" spans="1:10" ht="18" x14ac:dyDescent="0.2">
      <c r="A434" s="10"/>
      <c r="B434" s="10"/>
      <c r="C434" s="10"/>
      <c r="D434" s="10"/>
      <c r="E434" s="10"/>
      <c r="F434" s="10"/>
      <c r="G434" s="10"/>
      <c r="H434" s="10"/>
      <c r="I434" s="10"/>
      <c r="J434" s="10"/>
    </row>
    <row r="435" spans="1:10" ht="18" x14ac:dyDescent="0.2">
      <c r="A435" s="10"/>
      <c r="B435" s="10"/>
      <c r="C435" s="10"/>
      <c r="D435" s="10"/>
      <c r="E435" s="10"/>
      <c r="F435" s="10"/>
      <c r="G435" s="10"/>
      <c r="H435" s="10"/>
      <c r="I435" s="10"/>
      <c r="J435" s="10"/>
    </row>
    <row r="436" spans="1:10" ht="18" x14ac:dyDescent="0.2">
      <c r="A436" s="10"/>
      <c r="B436" s="10"/>
      <c r="C436" s="10"/>
      <c r="D436" s="10"/>
      <c r="E436" s="10"/>
      <c r="F436" s="10"/>
      <c r="G436" s="10"/>
      <c r="H436" s="10"/>
      <c r="I436" s="10"/>
      <c r="J436" s="10"/>
    </row>
    <row r="437" spans="1:10" ht="18" x14ac:dyDescent="0.2">
      <c r="A437" s="10"/>
      <c r="B437" s="10"/>
      <c r="C437" s="10"/>
      <c r="D437" s="10"/>
      <c r="E437" s="10"/>
      <c r="F437" s="10"/>
      <c r="G437" s="10"/>
      <c r="H437" s="10"/>
      <c r="I437" s="10"/>
      <c r="J437" s="10"/>
    </row>
    <row r="438" spans="1:10" ht="18" x14ac:dyDescent="0.2">
      <c r="A438" s="10"/>
      <c r="B438" s="10"/>
      <c r="C438" s="10"/>
      <c r="D438" s="10"/>
      <c r="E438" s="10"/>
      <c r="F438" s="10"/>
      <c r="G438" s="10"/>
      <c r="H438" s="10"/>
      <c r="I438" s="10"/>
      <c r="J438" s="10"/>
    </row>
    <row r="439" spans="1:10" ht="18" x14ac:dyDescent="0.2">
      <c r="A439" s="10"/>
      <c r="B439" s="10"/>
      <c r="C439" s="10"/>
      <c r="D439" s="10"/>
      <c r="E439" s="10"/>
      <c r="F439" s="10"/>
      <c r="G439" s="10"/>
      <c r="H439" s="10"/>
      <c r="I439" s="10"/>
      <c r="J439" s="10"/>
    </row>
    <row r="440" spans="1:10" ht="18" x14ac:dyDescent="0.2">
      <c r="A440" s="10"/>
      <c r="B440" s="10"/>
      <c r="C440" s="10"/>
      <c r="D440" s="10"/>
      <c r="E440" s="10"/>
      <c r="F440" s="10"/>
      <c r="G440" s="10"/>
      <c r="H440" s="10"/>
      <c r="I440" s="10"/>
      <c r="J440" s="10"/>
    </row>
    <row r="441" spans="1:10" ht="18" x14ac:dyDescent="0.2">
      <c r="A441" s="10"/>
      <c r="B441" s="10"/>
      <c r="C441" s="10"/>
      <c r="D441" s="10"/>
      <c r="E441" s="10"/>
      <c r="F441" s="10"/>
      <c r="G441" s="10"/>
      <c r="H441" s="10"/>
      <c r="I441" s="10"/>
      <c r="J441" s="10"/>
    </row>
    <row r="442" spans="1:10" ht="18" x14ac:dyDescent="0.2">
      <c r="A442" s="10"/>
      <c r="B442" s="10"/>
      <c r="C442" s="10"/>
      <c r="D442" s="10"/>
      <c r="E442" s="10"/>
      <c r="F442" s="10"/>
      <c r="G442" s="10"/>
      <c r="H442" s="10"/>
      <c r="I442" s="10"/>
      <c r="J442" s="10"/>
    </row>
    <row r="443" spans="1:10" ht="18" x14ac:dyDescent="0.2">
      <c r="A443" s="10"/>
      <c r="B443" s="10"/>
      <c r="C443" s="10"/>
      <c r="D443" s="10"/>
      <c r="E443" s="10"/>
      <c r="F443" s="10"/>
      <c r="G443" s="10"/>
      <c r="H443" s="10"/>
      <c r="I443" s="10"/>
      <c r="J443" s="10"/>
    </row>
    <row r="444" spans="1:10" ht="18" x14ac:dyDescent="0.2">
      <c r="A444" s="10"/>
      <c r="B444" s="10"/>
      <c r="C444" s="10"/>
      <c r="D444" s="10"/>
      <c r="E444" s="10"/>
      <c r="F444" s="10"/>
      <c r="G444" s="10"/>
      <c r="H444" s="10"/>
      <c r="I444" s="10"/>
      <c r="J444" s="10"/>
    </row>
    <row r="445" spans="1:10" ht="18" x14ac:dyDescent="0.2">
      <c r="A445" s="10"/>
      <c r="B445" s="10"/>
      <c r="C445" s="10"/>
      <c r="D445" s="10"/>
      <c r="E445" s="10"/>
      <c r="F445" s="10"/>
      <c r="G445" s="10"/>
      <c r="H445" s="10"/>
      <c r="I445" s="10"/>
      <c r="J445" s="10"/>
    </row>
    <row r="446" spans="1:10" ht="18" x14ac:dyDescent="0.2">
      <c r="A446" s="10"/>
      <c r="B446" s="10"/>
      <c r="C446" s="10"/>
      <c r="D446" s="10"/>
      <c r="E446" s="10"/>
      <c r="F446" s="10"/>
      <c r="G446" s="10"/>
      <c r="H446" s="10"/>
      <c r="I446" s="10"/>
      <c r="J446" s="10"/>
    </row>
    <row r="447" spans="1:10" ht="18" x14ac:dyDescent="0.2">
      <c r="A447" s="10"/>
      <c r="B447" s="10"/>
      <c r="C447" s="10"/>
      <c r="D447" s="10"/>
      <c r="E447" s="10"/>
      <c r="F447" s="10"/>
      <c r="G447" s="10"/>
      <c r="H447" s="10"/>
      <c r="I447" s="10"/>
      <c r="J447" s="10"/>
    </row>
    <row r="448" spans="1:10" ht="18" x14ac:dyDescent="0.2">
      <c r="A448" s="10"/>
      <c r="B448" s="10"/>
      <c r="C448" s="10"/>
      <c r="D448" s="10"/>
      <c r="E448" s="10"/>
      <c r="F448" s="10"/>
      <c r="G448" s="10"/>
      <c r="H448" s="10"/>
      <c r="I448" s="10"/>
      <c r="J448" s="10"/>
    </row>
    <row r="449" spans="1:10" ht="18" x14ac:dyDescent="0.2">
      <c r="A449" s="10"/>
      <c r="B449" s="10"/>
      <c r="C449" s="10"/>
      <c r="D449" s="10"/>
      <c r="E449" s="10"/>
      <c r="F449" s="10"/>
      <c r="G449" s="10"/>
      <c r="H449" s="10"/>
      <c r="I449" s="10"/>
      <c r="J449" s="10"/>
    </row>
    <row r="450" spans="1:10" ht="18" x14ac:dyDescent="0.2">
      <c r="A450" s="10"/>
      <c r="B450" s="10"/>
      <c r="C450" s="10"/>
      <c r="D450" s="10"/>
      <c r="E450" s="10"/>
      <c r="F450" s="10"/>
      <c r="G450" s="10"/>
      <c r="H450" s="10"/>
      <c r="I450" s="10"/>
      <c r="J450" s="10"/>
    </row>
    <row r="451" spans="1:10" ht="18" x14ac:dyDescent="0.2">
      <c r="A451" s="10"/>
      <c r="B451" s="10"/>
      <c r="C451" s="10"/>
      <c r="D451" s="10"/>
      <c r="E451" s="10"/>
      <c r="F451" s="10"/>
      <c r="G451" s="10"/>
      <c r="H451" s="10"/>
      <c r="I451" s="10"/>
      <c r="J451" s="10"/>
    </row>
    <row r="452" spans="1:10" ht="18" x14ac:dyDescent="0.2">
      <c r="A452" s="10"/>
      <c r="B452" s="10"/>
      <c r="C452" s="10"/>
      <c r="D452" s="10"/>
      <c r="E452" s="10"/>
      <c r="F452" s="10"/>
      <c r="G452" s="10"/>
      <c r="H452" s="10"/>
      <c r="I452" s="10"/>
      <c r="J452" s="10"/>
    </row>
    <row r="453" spans="1:10" ht="18" x14ac:dyDescent="0.2">
      <c r="A453" s="10"/>
      <c r="B453" s="10"/>
      <c r="C453" s="10"/>
      <c r="D453" s="10"/>
      <c r="E453" s="10"/>
      <c r="F453" s="10"/>
      <c r="G453" s="10"/>
      <c r="H453" s="10"/>
      <c r="I453" s="10"/>
      <c r="J453" s="10"/>
    </row>
    <row r="454" spans="1:10" ht="18" x14ac:dyDescent="0.2">
      <c r="A454" s="10"/>
      <c r="B454" s="10"/>
      <c r="C454" s="10"/>
      <c r="D454" s="10"/>
      <c r="E454" s="10"/>
      <c r="F454" s="10"/>
      <c r="G454" s="10"/>
      <c r="H454" s="10"/>
      <c r="I454" s="10"/>
      <c r="J454" s="10"/>
    </row>
    <row r="455" spans="1:10" ht="18" x14ac:dyDescent="0.2">
      <c r="A455" s="10"/>
      <c r="B455" s="10"/>
      <c r="C455" s="10"/>
      <c r="D455" s="10"/>
      <c r="E455" s="10"/>
      <c r="F455" s="10"/>
      <c r="G455" s="10"/>
      <c r="H455" s="10"/>
      <c r="I455" s="10"/>
      <c r="J455" s="10"/>
    </row>
    <row r="456" spans="1:10" ht="18" x14ac:dyDescent="0.2">
      <c r="A456" s="10"/>
      <c r="B456" s="10"/>
      <c r="C456" s="10"/>
      <c r="D456" s="10"/>
      <c r="E456" s="10"/>
      <c r="F456" s="10"/>
      <c r="G456" s="10"/>
      <c r="H456" s="10"/>
      <c r="I456" s="10"/>
      <c r="J456" s="10"/>
    </row>
    <row r="457" spans="1:10" ht="18" x14ac:dyDescent="0.2">
      <c r="A457" s="10"/>
      <c r="B457" s="10"/>
      <c r="C457" s="10"/>
      <c r="D457" s="10"/>
      <c r="E457" s="10"/>
      <c r="F457" s="10"/>
      <c r="G457" s="10"/>
      <c r="H457" s="10"/>
      <c r="I457" s="10"/>
      <c r="J457" s="10"/>
    </row>
    <row r="458" spans="1:10" ht="18" x14ac:dyDescent="0.2">
      <c r="A458" s="10"/>
      <c r="B458" s="10"/>
      <c r="C458" s="10"/>
      <c r="D458" s="10"/>
      <c r="E458" s="10"/>
      <c r="F458" s="10"/>
      <c r="G458" s="10"/>
      <c r="H458" s="10"/>
      <c r="I458" s="10"/>
      <c r="J458" s="10"/>
    </row>
    <row r="459" spans="1:10" ht="18" x14ac:dyDescent="0.2">
      <c r="A459" s="10"/>
      <c r="B459" s="10"/>
      <c r="C459" s="10"/>
      <c r="D459" s="10"/>
      <c r="E459" s="10"/>
      <c r="F459" s="10"/>
      <c r="G459" s="10"/>
      <c r="H459" s="10"/>
      <c r="I459" s="10"/>
      <c r="J459" s="10"/>
    </row>
    <row r="460" spans="1:10" ht="18" x14ac:dyDescent="0.2">
      <c r="A460" s="10"/>
      <c r="B460" s="10"/>
      <c r="C460" s="10"/>
      <c r="D460" s="10"/>
      <c r="E460" s="10"/>
      <c r="F460" s="10"/>
      <c r="G460" s="10"/>
      <c r="H460" s="10"/>
      <c r="I460" s="10"/>
      <c r="J460" s="10"/>
    </row>
    <row r="461" spans="1:10" ht="18" x14ac:dyDescent="0.2">
      <c r="A461" s="10"/>
      <c r="B461" s="10"/>
      <c r="C461" s="10"/>
      <c r="D461" s="10"/>
      <c r="E461" s="10"/>
      <c r="F461" s="10"/>
      <c r="G461" s="10"/>
      <c r="H461" s="10"/>
      <c r="I461" s="10"/>
      <c r="J461" s="10"/>
    </row>
    <row r="462" spans="1:10" ht="18" x14ac:dyDescent="0.2">
      <c r="A462" s="10"/>
      <c r="B462" s="10"/>
      <c r="C462" s="10"/>
      <c r="D462" s="10"/>
      <c r="E462" s="10"/>
      <c r="F462" s="10"/>
      <c r="G462" s="10"/>
      <c r="H462" s="10"/>
      <c r="I462" s="10"/>
      <c r="J462" s="10"/>
    </row>
    <row r="463" spans="1:10" ht="18" x14ac:dyDescent="0.2">
      <c r="A463" s="10"/>
      <c r="B463" s="10"/>
      <c r="C463" s="10"/>
      <c r="D463" s="10"/>
      <c r="E463" s="10"/>
      <c r="F463" s="10"/>
      <c r="G463" s="10"/>
      <c r="H463" s="10"/>
      <c r="I463" s="10"/>
      <c r="J463" s="10"/>
    </row>
    <row r="464" spans="1:10" ht="18" x14ac:dyDescent="0.2">
      <c r="A464" s="10"/>
      <c r="B464" s="10"/>
      <c r="C464" s="10"/>
      <c r="D464" s="10"/>
      <c r="E464" s="10"/>
      <c r="F464" s="10"/>
      <c r="G464" s="10"/>
      <c r="H464" s="10"/>
      <c r="I464" s="10"/>
      <c r="J464" s="10"/>
    </row>
    <row r="465" spans="1:10" ht="18" x14ac:dyDescent="0.2">
      <c r="A465" s="10"/>
      <c r="B465" s="10"/>
      <c r="C465" s="10"/>
      <c r="D465" s="10"/>
      <c r="E465" s="10"/>
      <c r="F465" s="10"/>
      <c r="G465" s="10"/>
      <c r="H465" s="10"/>
      <c r="I465" s="10"/>
      <c r="J465" s="10"/>
    </row>
    <row r="466" spans="1:10" ht="18" x14ac:dyDescent="0.2">
      <c r="A466" s="10"/>
      <c r="B466" s="10"/>
      <c r="C466" s="10"/>
      <c r="D466" s="10"/>
      <c r="E466" s="10"/>
      <c r="F466" s="10"/>
      <c r="G466" s="10"/>
      <c r="H466" s="10"/>
      <c r="I466" s="10"/>
      <c r="J466" s="10"/>
    </row>
    <row r="467" spans="1:10" ht="18" x14ac:dyDescent="0.2">
      <c r="A467" s="10"/>
      <c r="B467" s="10"/>
      <c r="C467" s="10"/>
      <c r="D467" s="10"/>
      <c r="E467" s="10"/>
      <c r="F467" s="10"/>
      <c r="G467" s="10"/>
      <c r="H467" s="10"/>
      <c r="I467" s="10"/>
      <c r="J467" s="10"/>
    </row>
    <row r="468" spans="1:10" ht="18" x14ac:dyDescent="0.2">
      <c r="A468" s="10"/>
      <c r="B468" s="10"/>
      <c r="C468" s="10"/>
      <c r="D468" s="10"/>
      <c r="E468" s="10"/>
      <c r="F468" s="10"/>
      <c r="G468" s="10"/>
      <c r="H468" s="10"/>
      <c r="I468" s="10"/>
      <c r="J468" s="10"/>
    </row>
    <row r="469" spans="1:10" ht="18" x14ac:dyDescent="0.2">
      <c r="A469" s="10"/>
      <c r="B469" s="10"/>
      <c r="C469" s="10"/>
      <c r="D469" s="10"/>
      <c r="E469" s="10"/>
      <c r="F469" s="10"/>
      <c r="G469" s="10"/>
      <c r="H469" s="10"/>
      <c r="I469" s="10"/>
      <c r="J469" s="10"/>
    </row>
    <row r="470" spans="1:10" ht="18" x14ac:dyDescent="0.2">
      <c r="A470" s="10"/>
      <c r="B470" s="10"/>
      <c r="C470" s="10"/>
      <c r="D470" s="10"/>
      <c r="E470" s="10"/>
      <c r="F470" s="10"/>
      <c r="G470" s="10"/>
      <c r="H470" s="10"/>
      <c r="I470" s="10"/>
      <c r="J470" s="10"/>
    </row>
    <row r="471" spans="1:10" ht="18" x14ac:dyDescent="0.2">
      <c r="A471" s="10"/>
      <c r="B471" s="10"/>
      <c r="C471" s="10"/>
      <c r="D471" s="10"/>
      <c r="E471" s="10"/>
      <c r="F471" s="10"/>
      <c r="G471" s="10"/>
      <c r="H471" s="10"/>
      <c r="I471" s="10"/>
      <c r="J471" s="10"/>
    </row>
    <row r="472" spans="1:10" ht="18" x14ac:dyDescent="0.2">
      <c r="A472" s="10"/>
      <c r="B472" s="10"/>
      <c r="C472" s="10"/>
      <c r="D472" s="10"/>
      <c r="E472" s="10"/>
      <c r="F472" s="10"/>
      <c r="G472" s="10"/>
      <c r="H472" s="10"/>
      <c r="I472" s="10"/>
      <c r="J472" s="10"/>
    </row>
    <row r="473" spans="1:10" ht="18" x14ac:dyDescent="0.2">
      <c r="A473" s="10"/>
      <c r="B473" s="10"/>
      <c r="C473" s="10"/>
      <c r="D473" s="10"/>
      <c r="E473" s="10"/>
      <c r="F473" s="10"/>
      <c r="G473" s="10"/>
      <c r="H473" s="10"/>
      <c r="I473" s="10"/>
      <c r="J473" s="10"/>
    </row>
    <row r="474" spans="1:10" ht="18" x14ac:dyDescent="0.2">
      <c r="A474" s="10"/>
      <c r="B474" s="10"/>
      <c r="C474" s="10"/>
      <c r="D474" s="10"/>
      <c r="E474" s="10"/>
      <c r="F474" s="10"/>
      <c r="G474" s="10"/>
      <c r="H474" s="10"/>
      <c r="I474" s="10"/>
      <c r="J474" s="10"/>
    </row>
    <row r="475" spans="1:10" ht="18" x14ac:dyDescent="0.2">
      <c r="A475" s="10"/>
      <c r="B475" s="10"/>
      <c r="C475" s="10"/>
      <c r="D475" s="10"/>
      <c r="E475" s="10"/>
      <c r="F475" s="10"/>
      <c r="G475" s="10"/>
      <c r="H475" s="10"/>
      <c r="I475" s="10"/>
      <c r="J475" s="10"/>
    </row>
    <row r="476" spans="1:10" ht="18" x14ac:dyDescent="0.2">
      <c r="A476" s="10"/>
      <c r="B476" s="10"/>
      <c r="C476" s="10"/>
      <c r="D476" s="10"/>
      <c r="E476" s="10"/>
      <c r="F476" s="10"/>
      <c r="G476" s="10"/>
      <c r="H476" s="10"/>
      <c r="I476" s="10"/>
      <c r="J476" s="10"/>
    </row>
    <row r="477" spans="1:10" ht="18" x14ac:dyDescent="0.2">
      <c r="A477" s="10"/>
      <c r="B477" s="10"/>
      <c r="C477" s="10"/>
      <c r="D477" s="10"/>
      <c r="E477" s="10"/>
      <c r="F477" s="10"/>
      <c r="G477" s="10"/>
      <c r="H477" s="10"/>
      <c r="I477" s="10"/>
      <c r="J477" s="10"/>
    </row>
    <row r="478" spans="1:10" ht="18" x14ac:dyDescent="0.2">
      <c r="A478" s="10"/>
      <c r="B478" s="10"/>
      <c r="C478" s="10"/>
      <c r="D478" s="10"/>
      <c r="E478" s="10"/>
      <c r="F478" s="10"/>
      <c r="G478" s="10"/>
      <c r="H478" s="10"/>
      <c r="I478" s="10"/>
      <c r="J478" s="10"/>
    </row>
    <row r="479" spans="1:10" ht="18" x14ac:dyDescent="0.2">
      <c r="A479" s="10"/>
      <c r="B479" s="10"/>
      <c r="C479" s="10"/>
      <c r="D479" s="10"/>
      <c r="E479" s="10"/>
      <c r="F479" s="10"/>
      <c r="G479" s="10"/>
      <c r="H479" s="10"/>
      <c r="I479" s="10"/>
      <c r="J479" s="10"/>
    </row>
    <row r="480" spans="1:10" ht="18" x14ac:dyDescent="0.2">
      <c r="A480" s="10"/>
      <c r="B480" s="10"/>
      <c r="C480" s="10"/>
      <c r="D480" s="10"/>
      <c r="E480" s="10"/>
      <c r="F480" s="10"/>
      <c r="G480" s="10"/>
      <c r="H480" s="10"/>
      <c r="I480" s="10"/>
      <c r="J480" s="10"/>
    </row>
    <row r="481" spans="1:10" ht="18" x14ac:dyDescent="0.2">
      <c r="A481" s="10"/>
      <c r="B481" s="10"/>
      <c r="C481" s="10"/>
      <c r="D481" s="10"/>
      <c r="E481" s="10"/>
      <c r="F481" s="10"/>
      <c r="G481" s="10"/>
      <c r="H481" s="10"/>
      <c r="I481" s="10"/>
      <c r="J481" s="10"/>
    </row>
    <row r="482" spans="1:10" ht="18" x14ac:dyDescent="0.2">
      <c r="A482" s="10"/>
      <c r="B482" s="10"/>
      <c r="C482" s="10"/>
      <c r="D482" s="10"/>
      <c r="E482" s="10"/>
      <c r="F482" s="10"/>
      <c r="G482" s="10"/>
      <c r="H482" s="10"/>
      <c r="I482" s="10"/>
      <c r="J482" s="10"/>
    </row>
    <row r="483" spans="1:10" ht="18" x14ac:dyDescent="0.2">
      <c r="A483" s="10"/>
      <c r="B483" s="10"/>
      <c r="C483" s="10"/>
      <c r="D483" s="10"/>
      <c r="E483" s="10"/>
      <c r="F483" s="10"/>
      <c r="G483" s="10"/>
      <c r="H483" s="10"/>
      <c r="I483" s="10"/>
      <c r="J483" s="10"/>
    </row>
    <row r="484" spans="1:10" ht="18" x14ac:dyDescent="0.2">
      <c r="A484" s="10"/>
      <c r="B484" s="10"/>
      <c r="C484" s="10"/>
      <c r="D484" s="10"/>
      <c r="E484" s="10"/>
      <c r="F484" s="10"/>
      <c r="G484" s="10"/>
      <c r="H484" s="10"/>
      <c r="I484" s="10"/>
      <c r="J484" s="10"/>
    </row>
    <row r="485" spans="1:10" ht="18" x14ac:dyDescent="0.2">
      <c r="A485" s="10"/>
      <c r="B485" s="10"/>
      <c r="C485" s="10"/>
      <c r="D485" s="10"/>
      <c r="E485" s="10"/>
      <c r="F485" s="10"/>
      <c r="G485" s="10"/>
      <c r="H485" s="10"/>
      <c r="I485" s="10"/>
      <c r="J485" s="10"/>
    </row>
    <row r="486" spans="1:10" ht="18" x14ac:dyDescent="0.2">
      <c r="A486" s="10"/>
      <c r="B486" s="10"/>
      <c r="C486" s="10"/>
      <c r="D486" s="10"/>
      <c r="E486" s="10"/>
      <c r="F486" s="10"/>
      <c r="G486" s="10"/>
      <c r="H486" s="10"/>
      <c r="I486" s="10"/>
      <c r="J486" s="10"/>
    </row>
    <row r="487" spans="1:10" ht="18" x14ac:dyDescent="0.2">
      <c r="A487" s="10"/>
      <c r="B487" s="10"/>
      <c r="C487" s="10"/>
      <c r="D487" s="10"/>
      <c r="E487" s="10"/>
      <c r="F487" s="10"/>
      <c r="G487" s="10"/>
      <c r="H487" s="10"/>
      <c r="I487" s="10"/>
      <c r="J487" s="10"/>
    </row>
    <row r="488" spans="1:10" ht="18" x14ac:dyDescent="0.2">
      <c r="A488" s="10"/>
      <c r="B488" s="10"/>
      <c r="C488" s="10"/>
      <c r="D488" s="10"/>
      <c r="E488" s="10"/>
      <c r="F488" s="10"/>
      <c r="G488" s="10"/>
      <c r="H488" s="10"/>
      <c r="I488" s="10"/>
      <c r="J488" s="10"/>
    </row>
    <row r="489" spans="1:10" ht="18" x14ac:dyDescent="0.2">
      <c r="A489" s="10"/>
      <c r="B489" s="10"/>
      <c r="C489" s="10"/>
      <c r="D489" s="10"/>
      <c r="E489" s="10"/>
      <c r="F489" s="10"/>
      <c r="G489" s="10"/>
      <c r="H489" s="10"/>
      <c r="I489" s="10"/>
      <c r="J489" s="10"/>
    </row>
    <row r="490" spans="1:10" ht="18" x14ac:dyDescent="0.2">
      <c r="A490" s="10"/>
      <c r="B490" s="10"/>
      <c r="C490" s="10"/>
      <c r="D490" s="10"/>
      <c r="E490" s="10"/>
      <c r="F490" s="10"/>
      <c r="G490" s="10"/>
      <c r="H490" s="10"/>
      <c r="I490" s="10"/>
      <c r="J490" s="10"/>
    </row>
    <row r="491" spans="1:10" ht="18" x14ac:dyDescent="0.2">
      <c r="A491" s="10"/>
      <c r="B491" s="10"/>
      <c r="C491" s="10"/>
      <c r="D491" s="10"/>
      <c r="E491" s="10"/>
      <c r="F491" s="10"/>
      <c r="G491" s="10"/>
      <c r="H491" s="10"/>
      <c r="I491" s="10"/>
      <c r="J491" s="10"/>
    </row>
    <row r="492" spans="1:10" ht="18" x14ac:dyDescent="0.2">
      <c r="A492" s="10"/>
      <c r="B492" s="10"/>
      <c r="C492" s="10"/>
      <c r="D492" s="10"/>
      <c r="E492" s="10"/>
      <c r="F492" s="10"/>
      <c r="G492" s="10"/>
      <c r="H492" s="10"/>
      <c r="I492" s="10"/>
      <c r="J492" s="10"/>
    </row>
    <row r="493" spans="1:10" ht="18" x14ac:dyDescent="0.2">
      <c r="A493" s="10"/>
      <c r="B493" s="10"/>
      <c r="C493" s="10"/>
      <c r="D493" s="10"/>
      <c r="E493" s="10"/>
      <c r="F493" s="10"/>
      <c r="G493" s="10"/>
      <c r="H493" s="10"/>
      <c r="I493" s="10"/>
      <c r="J493" s="10"/>
    </row>
    <row r="494" spans="1:10" ht="18" x14ac:dyDescent="0.2">
      <c r="A494" s="10"/>
      <c r="B494" s="10"/>
      <c r="C494" s="10"/>
      <c r="D494" s="10"/>
      <c r="E494" s="10"/>
      <c r="F494" s="10"/>
      <c r="G494" s="10"/>
      <c r="H494" s="10"/>
      <c r="I494" s="10"/>
      <c r="J494" s="10"/>
    </row>
    <row r="495" spans="1:10" ht="18" x14ac:dyDescent="0.2">
      <c r="A495" s="10"/>
      <c r="B495" s="10"/>
      <c r="C495" s="10"/>
      <c r="D495" s="10"/>
      <c r="E495" s="10"/>
      <c r="F495" s="10"/>
      <c r="G495" s="10"/>
      <c r="H495" s="10"/>
      <c r="I495" s="10"/>
      <c r="J495" s="10"/>
    </row>
    <row r="496" spans="1:10" ht="18" x14ac:dyDescent="0.2">
      <c r="A496" s="10"/>
      <c r="B496" s="10"/>
      <c r="C496" s="10"/>
      <c r="D496" s="10"/>
      <c r="E496" s="10"/>
      <c r="F496" s="10"/>
      <c r="G496" s="10"/>
      <c r="H496" s="10"/>
      <c r="I496" s="10"/>
      <c r="J496" s="10"/>
    </row>
    <row r="497" spans="1:10" ht="18" x14ac:dyDescent="0.2">
      <c r="A497" s="10"/>
      <c r="B497" s="10"/>
      <c r="C497" s="10"/>
      <c r="D497" s="10"/>
      <c r="E497" s="10"/>
      <c r="F497" s="10"/>
      <c r="G497" s="10"/>
      <c r="H497" s="10"/>
      <c r="I497" s="10"/>
      <c r="J497" s="10"/>
    </row>
    <row r="498" spans="1:10" ht="18" x14ac:dyDescent="0.2">
      <c r="A498" s="10"/>
      <c r="B498" s="10"/>
      <c r="C498" s="10"/>
      <c r="D498" s="10"/>
      <c r="E498" s="10"/>
      <c r="F498" s="10"/>
      <c r="G498" s="10"/>
      <c r="H498" s="10"/>
      <c r="I498" s="10"/>
      <c r="J498" s="10"/>
    </row>
    <row r="499" spans="1:10" ht="18" x14ac:dyDescent="0.2">
      <c r="A499" s="10"/>
      <c r="B499" s="10"/>
      <c r="C499" s="10"/>
      <c r="D499" s="10"/>
      <c r="E499" s="10"/>
      <c r="F499" s="10"/>
      <c r="G499" s="10"/>
      <c r="H499" s="10"/>
      <c r="I499" s="10"/>
      <c r="J499" s="10"/>
    </row>
    <row r="500" spans="1:10" ht="18" x14ac:dyDescent="0.2">
      <c r="A500" s="10"/>
      <c r="B500" s="10"/>
      <c r="C500" s="10"/>
      <c r="D500" s="10"/>
      <c r="E500" s="10"/>
      <c r="F500" s="10"/>
      <c r="G500" s="10"/>
      <c r="H500" s="10"/>
      <c r="I500" s="10"/>
      <c r="J500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autoFill="0" autoPict="0" macro="[0]!OuvrirMenuGMAO">
                <anchor moveWithCells="1" sizeWithCells="1">
                  <from>
                    <xdr:col>9</xdr:col>
                    <xdr:colOff>419100</xdr:colOff>
                    <xdr:row>0</xdr:row>
                    <xdr:rowOff>215900</xdr:rowOff>
                  </from>
                  <to>
                    <xdr:col>11</xdr:col>
                    <xdr:colOff>355600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9" enableFormatConditionsCalculation="0"/>
  <dimension ref="A1:F1000"/>
  <sheetViews>
    <sheetView workbookViewId="0">
      <selection activeCell="B5" sqref="B5"/>
    </sheetView>
  </sheetViews>
  <sheetFormatPr baseColWidth="10" defaultRowHeight="16" x14ac:dyDescent="0.2"/>
  <cols>
    <col min="1" max="1" width="3.83203125" style="48" customWidth="1"/>
    <col min="2" max="2" width="35.33203125" style="48" customWidth="1"/>
    <col min="3" max="3" width="26.1640625" style="48" customWidth="1"/>
    <col min="4" max="4" width="28.1640625" style="48" customWidth="1"/>
    <col min="5" max="5" width="5.83203125" style="48" customWidth="1"/>
    <col min="6" max="6" width="22.83203125" style="48" customWidth="1"/>
    <col min="7" max="16384" width="10.83203125" style="48"/>
  </cols>
  <sheetData>
    <row r="1" spans="1:6" ht="36" customHeight="1" x14ac:dyDescent="0.2">
      <c r="A1" s="57"/>
      <c r="B1" s="58"/>
      <c r="C1" s="58"/>
      <c r="D1" s="58"/>
      <c r="E1" s="58"/>
    </row>
    <row r="2" spans="1:6" ht="35" customHeight="1" x14ac:dyDescent="0.25">
      <c r="A2" s="58"/>
      <c r="B2" s="148" t="s">
        <v>353</v>
      </c>
      <c r="C2" s="148"/>
      <c r="D2" s="148"/>
      <c r="E2" s="148"/>
      <c r="F2" s="148"/>
    </row>
    <row r="3" spans="1:6" x14ac:dyDescent="0.2">
      <c r="A3" s="58"/>
      <c r="B3" s="59"/>
      <c r="C3" s="58"/>
      <c r="D3" s="58"/>
      <c r="E3" s="58"/>
      <c r="F3" s="58"/>
    </row>
    <row r="4" spans="1:6" ht="18" x14ac:dyDescent="0.2">
      <c r="A4" s="58"/>
      <c r="B4" s="60" t="s">
        <v>346</v>
      </c>
      <c r="C4" s="61"/>
      <c r="D4" s="60" t="s">
        <v>347</v>
      </c>
      <c r="E4" s="61"/>
      <c r="F4" s="60" t="s">
        <v>348</v>
      </c>
    </row>
    <row r="5" spans="1:6" ht="19" x14ac:dyDescent="0.25">
      <c r="A5" s="58"/>
      <c r="B5" s="62">
        <v>0</v>
      </c>
      <c r="C5" s="62"/>
      <c r="D5" s="62">
        <v>0</v>
      </c>
      <c r="E5" s="62"/>
      <c r="F5" s="62">
        <v>0</v>
      </c>
    </row>
    <row r="6" spans="1:6" x14ac:dyDescent="0.2">
      <c r="A6" s="63"/>
      <c r="B6" s="63"/>
      <c r="C6" s="63"/>
      <c r="D6" s="63"/>
      <c r="E6" s="63"/>
      <c r="F6" s="58"/>
    </row>
    <row r="7" spans="1:6" x14ac:dyDescent="0.2">
      <c r="A7" s="58"/>
      <c r="B7" s="58"/>
      <c r="C7" s="58"/>
      <c r="D7" s="58"/>
      <c r="E7" s="58"/>
      <c r="F7" s="58"/>
    </row>
    <row r="8" spans="1:6" ht="36" x14ac:dyDescent="0.2">
      <c r="A8" s="58"/>
      <c r="B8" s="60" t="s">
        <v>349</v>
      </c>
      <c r="C8" s="61"/>
      <c r="D8" s="60" t="s">
        <v>350</v>
      </c>
      <c r="E8" s="58"/>
      <c r="F8" s="58"/>
    </row>
    <row r="9" spans="1:6" ht="19" x14ac:dyDescent="0.25">
      <c r="B9" s="62">
        <v>0</v>
      </c>
      <c r="C9" s="62"/>
      <c r="D9" s="62">
        <v>0</v>
      </c>
    </row>
    <row r="13" spans="1:6" ht="17" x14ac:dyDescent="0.2">
      <c r="B13" s="64" t="s">
        <v>351</v>
      </c>
      <c r="C13" s="64"/>
    </row>
    <row r="14" spans="1:6" x14ac:dyDescent="0.2">
      <c r="B14" s="61" t="s">
        <v>295</v>
      </c>
      <c r="C14" s="61" t="s">
        <v>352</v>
      </c>
    </row>
    <row r="15" spans="1:6" x14ac:dyDescent="0.2">
      <c r="B15" s="65"/>
      <c r="C15" s="65"/>
    </row>
    <row r="16" spans="1:6" x14ac:dyDescent="0.2">
      <c r="B16" s="65"/>
      <c r="C16" s="65"/>
    </row>
    <row r="17" spans="2:3" x14ac:dyDescent="0.2">
      <c r="B17" s="65"/>
      <c r="C17" s="65"/>
    </row>
    <row r="18" spans="2:3" x14ac:dyDescent="0.2">
      <c r="B18" s="65"/>
      <c r="C18" s="65"/>
    </row>
    <row r="19" spans="2:3" x14ac:dyDescent="0.2">
      <c r="B19" s="65"/>
      <c r="C19" s="65"/>
    </row>
    <row r="20" spans="2:3" x14ac:dyDescent="0.2">
      <c r="B20" s="65"/>
      <c r="C20" s="65"/>
    </row>
    <row r="21" spans="2:3" x14ac:dyDescent="0.2">
      <c r="B21" s="65"/>
      <c r="C21" s="65"/>
    </row>
    <row r="22" spans="2:3" x14ac:dyDescent="0.2">
      <c r="B22" s="65"/>
      <c r="C22" s="65"/>
    </row>
    <row r="23" spans="2:3" x14ac:dyDescent="0.2">
      <c r="B23" s="65"/>
      <c r="C23" s="65"/>
    </row>
    <row r="25" spans="2:3" ht="17" x14ac:dyDescent="0.2">
      <c r="B25" s="64"/>
      <c r="C25" s="64"/>
    </row>
    <row r="26" spans="2:3" x14ac:dyDescent="0.2">
      <c r="B26" s="61"/>
      <c r="C26" s="61"/>
    </row>
    <row r="27" spans="2:3" x14ac:dyDescent="0.2">
      <c r="B27" s="65"/>
      <c r="C27" s="65"/>
    </row>
    <row r="28" spans="2:3" x14ac:dyDescent="0.2">
      <c r="B28" s="65"/>
      <c r="C28" s="65"/>
    </row>
    <row r="29" spans="2:3" x14ac:dyDescent="0.2">
      <c r="B29" s="65"/>
      <c r="C29" s="65"/>
    </row>
    <row r="30" spans="2:3" x14ac:dyDescent="0.2">
      <c r="B30" s="65"/>
      <c r="C30" s="65"/>
    </row>
    <row r="31" spans="2:3" x14ac:dyDescent="0.2">
      <c r="B31" s="65"/>
      <c r="C31" s="65"/>
    </row>
    <row r="32" spans="2:3" x14ac:dyDescent="0.2">
      <c r="B32" s="65"/>
      <c r="C32" s="65"/>
    </row>
    <row r="33" spans="2:3" x14ac:dyDescent="0.2">
      <c r="B33" s="65"/>
      <c r="C33" s="65"/>
    </row>
    <row r="34" spans="2:3" x14ac:dyDescent="0.2">
      <c r="B34" s="65"/>
      <c r="C34" s="65"/>
    </row>
    <row r="35" spans="2:3" x14ac:dyDescent="0.2">
      <c r="B35" s="65"/>
      <c r="C35" s="65"/>
    </row>
    <row r="37" spans="2:3" ht="17" x14ac:dyDescent="0.2">
      <c r="B37" s="64"/>
      <c r="C37" s="64"/>
    </row>
    <row r="38" spans="2:3" x14ac:dyDescent="0.2">
      <c r="B38" s="61"/>
      <c r="C38" s="61"/>
    </row>
    <row r="39" spans="2:3" x14ac:dyDescent="0.2">
      <c r="B39" s="65"/>
      <c r="C39" s="65"/>
    </row>
    <row r="40" spans="2:3" x14ac:dyDescent="0.2">
      <c r="B40" s="65"/>
      <c r="C40" s="65"/>
    </row>
    <row r="41" spans="2:3" x14ac:dyDescent="0.2">
      <c r="B41" s="65"/>
      <c r="C41" s="65"/>
    </row>
    <row r="42" spans="2:3" x14ac:dyDescent="0.2">
      <c r="B42" s="65"/>
      <c r="C42" s="65"/>
    </row>
    <row r="43" spans="2:3" x14ac:dyDescent="0.2">
      <c r="B43" s="65"/>
      <c r="C43" s="65"/>
    </row>
    <row r="44" spans="2:3" x14ac:dyDescent="0.2">
      <c r="B44" s="65"/>
      <c r="C44" s="65"/>
    </row>
    <row r="45" spans="2:3" x14ac:dyDescent="0.2">
      <c r="B45" s="65"/>
      <c r="C45" s="65"/>
    </row>
    <row r="46" spans="2:3" x14ac:dyDescent="0.2">
      <c r="B46" s="65"/>
      <c r="C46" s="65"/>
    </row>
    <row r="47" spans="2:3" x14ac:dyDescent="0.2">
      <c r="B47" s="65"/>
      <c r="C47" s="65"/>
    </row>
    <row r="48" spans="2:3" x14ac:dyDescent="0.2">
      <c r="B48" s="65"/>
      <c r="C48" s="65"/>
    </row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  <row r="800" hidden="1" x14ac:dyDescent="0.2"/>
    <row r="801" hidden="1" x14ac:dyDescent="0.2"/>
    <row r="802" hidden="1" x14ac:dyDescent="0.2"/>
    <row r="803" hidden="1" x14ac:dyDescent="0.2"/>
    <row r="804" hidden="1" x14ac:dyDescent="0.2"/>
    <row r="805" hidden="1" x14ac:dyDescent="0.2"/>
    <row r="806" hidden="1" x14ac:dyDescent="0.2"/>
    <row r="807" hidden="1" x14ac:dyDescent="0.2"/>
    <row r="808" hidden="1" x14ac:dyDescent="0.2"/>
    <row r="809" hidden="1" x14ac:dyDescent="0.2"/>
    <row r="810" hidden="1" x14ac:dyDescent="0.2"/>
    <row r="811" hidden="1" x14ac:dyDescent="0.2"/>
    <row r="812" hidden="1" x14ac:dyDescent="0.2"/>
    <row r="813" hidden="1" x14ac:dyDescent="0.2"/>
    <row r="814" hidden="1" x14ac:dyDescent="0.2"/>
    <row r="815" hidden="1" x14ac:dyDescent="0.2"/>
    <row r="816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hidden="1" x14ac:dyDescent="0.2"/>
    <row r="834" hidden="1" x14ac:dyDescent="0.2"/>
    <row r="835" hidden="1" x14ac:dyDescent="0.2"/>
    <row r="836" hidden="1" x14ac:dyDescent="0.2"/>
    <row r="837" hidden="1" x14ac:dyDescent="0.2"/>
    <row r="838" hidden="1" x14ac:dyDescent="0.2"/>
    <row r="839" hidden="1" x14ac:dyDescent="0.2"/>
    <row r="840" hidden="1" x14ac:dyDescent="0.2"/>
    <row r="841" hidden="1" x14ac:dyDescent="0.2"/>
    <row r="842" hidden="1" x14ac:dyDescent="0.2"/>
    <row r="843" hidden="1" x14ac:dyDescent="0.2"/>
    <row r="844" hidden="1" x14ac:dyDescent="0.2"/>
    <row r="845" hidden="1" x14ac:dyDescent="0.2"/>
    <row r="846" hidden="1" x14ac:dyDescent="0.2"/>
    <row r="847" hidden="1" x14ac:dyDescent="0.2"/>
    <row r="848" hidden="1" x14ac:dyDescent="0.2"/>
    <row r="849" hidden="1" x14ac:dyDescent="0.2"/>
    <row r="850" hidden="1" x14ac:dyDescent="0.2"/>
    <row r="851" hidden="1" x14ac:dyDescent="0.2"/>
    <row r="852" hidden="1" x14ac:dyDescent="0.2"/>
    <row r="853" hidden="1" x14ac:dyDescent="0.2"/>
    <row r="854" hidden="1" x14ac:dyDescent="0.2"/>
    <row r="855" hidden="1" x14ac:dyDescent="0.2"/>
    <row r="856" hidden="1" x14ac:dyDescent="0.2"/>
    <row r="857" hidden="1" x14ac:dyDescent="0.2"/>
    <row r="858" hidden="1" x14ac:dyDescent="0.2"/>
    <row r="859" hidden="1" x14ac:dyDescent="0.2"/>
    <row r="860" hidden="1" x14ac:dyDescent="0.2"/>
    <row r="861" hidden="1" x14ac:dyDescent="0.2"/>
    <row r="862" hidden="1" x14ac:dyDescent="0.2"/>
    <row r="863" hidden="1" x14ac:dyDescent="0.2"/>
    <row r="864" hidden="1" x14ac:dyDescent="0.2"/>
    <row r="865" hidden="1" x14ac:dyDescent="0.2"/>
    <row r="866" hidden="1" x14ac:dyDescent="0.2"/>
    <row r="867" hidden="1" x14ac:dyDescent="0.2"/>
    <row r="868" hidden="1" x14ac:dyDescent="0.2"/>
    <row r="869" hidden="1" x14ac:dyDescent="0.2"/>
    <row r="870" hidden="1" x14ac:dyDescent="0.2"/>
    <row r="871" hidden="1" x14ac:dyDescent="0.2"/>
    <row r="872" hidden="1" x14ac:dyDescent="0.2"/>
    <row r="873" hidden="1" x14ac:dyDescent="0.2"/>
    <row r="874" hidden="1" x14ac:dyDescent="0.2"/>
    <row r="875" hidden="1" x14ac:dyDescent="0.2"/>
    <row r="876" hidden="1" x14ac:dyDescent="0.2"/>
    <row r="877" hidden="1" x14ac:dyDescent="0.2"/>
    <row r="878" hidden="1" x14ac:dyDescent="0.2"/>
    <row r="879" hidden="1" x14ac:dyDescent="0.2"/>
    <row r="880" hidden="1" x14ac:dyDescent="0.2"/>
    <row r="881" hidden="1" x14ac:dyDescent="0.2"/>
    <row r="882" hidden="1" x14ac:dyDescent="0.2"/>
    <row r="883" hidden="1" x14ac:dyDescent="0.2"/>
    <row r="884" hidden="1" x14ac:dyDescent="0.2"/>
    <row r="885" hidden="1" x14ac:dyDescent="0.2"/>
    <row r="886" hidden="1" x14ac:dyDescent="0.2"/>
    <row r="887" hidden="1" x14ac:dyDescent="0.2"/>
    <row r="888" hidden="1" x14ac:dyDescent="0.2"/>
    <row r="889" hidden="1" x14ac:dyDescent="0.2"/>
    <row r="890" hidden="1" x14ac:dyDescent="0.2"/>
    <row r="891" hidden="1" x14ac:dyDescent="0.2"/>
    <row r="892" hidden="1" x14ac:dyDescent="0.2"/>
    <row r="893" hidden="1" x14ac:dyDescent="0.2"/>
    <row r="894" hidden="1" x14ac:dyDescent="0.2"/>
    <row r="895" hidden="1" x14ac:dyDescent="0.2"/>
    <row r="896" hidden="1" x14ac:dyDescent="0.2"/>
    <row r="897" hidden="1" x14ac:dyDescent="0.2"/>
    <row r="898" hidden="1" x14ac:dyDescent="0.2"/>
    <row r="899" hidden="1" x14ac:dyDescent="0.2"/>
    <row r="900" hidden="1" x14ac:dyDescent="0.2"/>
    <row r="901" hidden="1" x14ac:dyDescent="0.2"/>
    <row r="902" hidden="1" x14ac:dyDescent="0.2"/>
    <row r="903" hidden="1" x14ac:dyDescent="0.2"/>
    <row r="904" hidden="1" x14ac:dyDescent="0.2"/>
    <row r="905" hidden="1" x14ac:dyDescent="0.2"/>
    <row r="906" hidden="1" x14ac:dyDescent="0.2"/>
    <row r="907" hidden="1" x14ac:dyDescent="0.2"/>
    <row r="908" hidden="1" x14ac:dyDescent="0.2"/>
    <row r="909" hidden="1" x14ac:dyDescent="0.2"/>
    <row r="910" hidden="1" x14ac:dyDescent="0.2"/>
    <row r="911" hidden="1" x14ac:dyDescent="0.2"/>
    <row r="912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hidden="1" x14ac:dyDescent="0.2"/>
    <row r="994" hidden="1" x14ac:dyDescent="0.2"/>
    <row r="995" hidden="1" x14ac:dyDescent="0.2"/>
    <row r="996" hidden="1" x14ac:dyDescent="0.2"/>
    <row r="997" hidden="1" x14ac:dyDescent="0.2"/>
    <row r="998" hidden="1" x14ac:dyDescent="0.2"/>
    <row r="999" hidden="1" x14ac:dyDescent="0.2"/>
    <row r="1000" hidden="1" x14ac:dyDescent="0.2"/>
  </sheetData>
  <mergeCells count="1">
    <mergeCell ref="B2:F2"/>
  </mergeCells>
  <phoneticPr fontId="11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OuvrirMenuGMAO">
                <anchor moveWithCells="1" sizeWithCells="1">
                  <from>
                    <xdr:col>1</xdr:col>
                    <xdr:colOff>25400</xdr:colOff>
                    <xdr:row>0</xdr:row>
                    <xdr:rowOff>0</xdr:rowOff>
                  </from>
                  <to>
                    <xdr:col>2</xdr:col>
                    <xdr:colOff>12700</xdr:colOff>
                    <xdr:row>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7" enableFormatConditionsCalculation="0"/>
  <dimension ref="B3:C12"/>
  <sheetViews>
    <sheetView workbookViewId="0">
      <selection activeCell="E8" sqref="E8"/>
    </sheetView>
  </sheetViews>
  <sheetFormatPr baseColWidth="10" defaultRowHeight="16" x14ac:dyDescent="0.2"/>
  <cols>
    <col min="1" max="1" width="13.1640625" customWidth="1"/>
    <col min="2" max="2" width="20" customWidth="1"/>
    <col min="3" max="3" width="32" customWidth="1"/>
    <col min="4" max="4" width="18" customWidth="1"/>
    <col min="5" max="5" width="18.5" customWidth="1"/>
    <col min="6" max="6" width="14.1640625" customWidth="1"/>
    <col min="7" max="7" width="18.83203125" customWidth="1"/>
  </cols>
  <sheetData>
    <row r="3" spans="2:3" ht="18" x14ac:dyDescent="0.2">
      <c r="B3" s="149" t="s">
        <v>342</v>
      </c>
      <c r="C3" s="150"/>
    </row>
    <row r="4" spans="2:3" ht="3" hidden="1" customHeight="1" x14ac:dyDescent="0.2">
      <c r="B4" s="106"/>
      <c r="C4" s="106"/>
    </row>
    <row r="5" spans="2:3" ht="18" x14ac:dyDescent="0.2">
      <c r="B5" s="115" t="s">
        <v>292</v>
      </c>
      <c r="C5" s="116"/>
    </row>
    <row r="6" spans="2:3" ht="18" x14ac:dyDescent="0.2">
      <c r="B6" s="115" t="s">
        <v>277</v>
      </c>
      <c r="C6" s="114"/>
    </row>
    <row r="7" spans="2:3" ht="18" x14ac:dyDescent="0.2">
      <c r="B7" s="115" t="s">
        <v>46</v>
      </c>
      <c r="C7" s="114"/>
    </row>
    <row r="8" spans="2:3" ht="18" x14ac:dyDescent="0.2">
      <c r="B8" s="115" t="s">
        <v>296</v>
      </c>
      <c r="C8" s="114"/>
    </row>
    <row r="9" spans="2:3" ht="18" x14ac:dyDescent="0.2">
      <c r="B9" s="115" t="s">
        <v>330</v>
      </c>
      <c r="C9" s="114"/>
    </row>
    <row r="10" spans="2:3" ht="18" x14ac:dyDescent="0.2">
      <c r="B10" s="115" t="s">
        <v>343</v>
      </c>
      <c r="C10" s="114"/>
    </row>
    <row r="11" spans="2:3" ht="18" x14ac:dyDescent="0.2">
      <c r="B11" s="115" t="s">
        <v>297</v>
      </c>
      <c r="C11" s="114"/>
    </row>
    <row r="12" spans="2:3" ht="18" x14ac:dyDescent="0.2">
      <c r="B12" s="115" t="s">
        <v>298</v>
      </c>
      <c r="C12" s="114"/>
    </row>
  </sheetData>
  <mergeCells count="1">
    <mergeCell ref="B3:C3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3" name="Button 3">
              <controlPr defaultSize="0" autoFill="0" autoPict="0" macro="[0]!EnregistrerEntreeStock">
                <anchor moveWithCells="1" sizeWithCells="1">
                  <from>
                    <xdr:col>1</xdr:col>
                    <xdr:colOff>1473200</xdr:colOff>
                    <xdr:row>15</xdr:row>
                    <xdr:rowOff>114300</xdr:rowOff>
                  </from>
                  <to>
                    <xdr:col>3</xdr:col>
                    <xdr:colOff>635000</xdr:colOff>
                    <xdr:row>19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8" r:id="rId4" name="Button 4">
              <controlPr defaultSize="0" autoFill="0" autoPict="0" macro="[0]!OuvrirMenuGMAO">
                <anchor moveWithCells="1" sizeWithCells="1">
                  <from>
                    <xdr:col>0</xdr:col>
                    <xdr:colOff>736600</xdr:colOff>
                    <xdr:row>15</xdr:row>
                    <xdr:rowOff>165100</xdr:rowOff>
                  </from>
                  <to>
                    <xdr:col>1</xdr:col>
                    <xdr:colOff>762000</xdr:colOff>
                    <xdr:row>19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LUBRIFIANTS!$A$2:$A$19</xm:f>
          </x14:formula1>
          <xm:sqref>C6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2" enableFormatConditionsCalculation="0"/>
  <dimension ref="B1:C19"/>
  <sheetViews>
    <sheetView workbookViewId="0">
      <selection activeCell="C22" sqref="C22"/>
    </sheetView>
  </sheetViews>
  <sheetFormatPr baseColWidth="10" defaultRowHeight="16" x14ac:dyDescent="0.2"/>
  <cols>
    <col min="2" max="2" width="48.6640625" customWidth="1"/>
    <col min="3" max="3" width="34.33203125" customWidth="1"/>
  </cols>
  <sheetData>
    <row r="1" spans="2:3" x14ac:dyDescent="0.2">
      <c r="C1" t="s">
        <v>328</v>
      </c>
    </row>
    <row r="2" spans="2:3" x14ac:dyDescent="0.2">
      <c r="B2" t="s">
        <v>320</v>
      </c>
      <c r="C2" t="str">
        <f>LUBRIFIANTS!A2&amp;" - "&amp;LUBRIFIANTS!B2</f>
        <v>LUB_01 - ISO VG 220</v>
      </c>
    </row>
    <row r="3" spans="2:3" x14ac:dyDescent="0.2">
      <c r="C3" t="str">
        <f>LUBRIFIANTS!A3&amp;" - "&amp;LUBRIFIANTS!B3</f>
        <v>LUB_02 - ISO VG 220</v>
      </c>
    </row>
    <row r="4" spans="2:3" x14ac:dyDescent="0.2">
      <c r="B4" t="s">
        <v>321</v>
      </c>
      <c r="C4" t="str">
        <f>LUBRIFIANTS!A4&amp;" - "&amp;LUBRIFIANTS!B4</f>
        <v>LUB_03 - ISO VG 320</v>
      </c>
    </row>
    <row r="5" spans="2:3" x14ac:dyDescent="0.2">
      <c r="C5" t="str">
        <f>LUBRIFIANTS!A5&amp;" - "&amp;LUBRIFIANTS!B5</f>
        <v>LUB_04 - ISO VG 320</v>
      </c>
    </row>
    <row r="6" spans="2:3" x14ac:dyDescent="0.2">
      <c r="C6" t="str">
        <f>LUBRIFIANTS!A6&amp;" - "&amp;LUBRIFIANTS!B6</f>
        <v>LUB_05 - ISO VG 460</v>
      </c>
    </row>
    <row r="7" spans="2:3" x14ac:dyDescent="0.2">
      <c r="C7" t="str">
        <f>LUBRIFIANTS!A7&amp;" - "&amp;LUBRIFIANTS!B7</f>
        <v>LUB_06 - ISO VG 460</v>
      </c>
    </row>
    <row r="8" spans="2:3" x14ac:dyDescent="0.2">
      <c r="C8" t="str">
        <f>LUBRIFIANTS!A8&amp;" - "&amp;LUBRIFIANTS!B8</f>
        <v>LUB_07 - ISO VG 680</v>
      </c>
    </row>
    <row r="9" spans="2:3" x14ac:dyDescent="0.2">
      <c r="C9" t="str">
        <f>LUBRIFIANTS!A9&amp;" - "&amp;LUBRIFIANTS!B9</f>
        <v>LUB_08 - ISO VG 680</v>
      </c>
    </row>
    <row r="10" spans="2:3" x14ac:dyDescent="0.2">
      <c r="C10" t="str">
        <f>LUBRIFIANTS!A10&amp;" - "&amp;LUBRIFIANTS!B10</f>
        <v>LUB_09 - FUSH PG 1000</v>
      </c>
    </row>
    <row r="11" spans="2:3" x14ac:dyDescent="0.2">
      <c r="C11" t="str">
        <f>LUBRIFIANTS!A11&amp;" - "&amp;LUBRIFIANTS!B11</f>
        <v>LUB_10 - FLUIDE HYDRO</v>
      </c>
    </row>
    <row r="12" spans="2:3" x14ac:dyDescent="0.2">
      <c r="C12" t="str">
        <f>LUBRIFIANTS!A12&amp;" - "&amp;LUBRIFIANTS!B12</f>
        <v>LUB_11 - FLUIDE HYDRO</v>
      </c>
    </row>
    <row r="13" spans="2:3" x14ac:dyDescent="0.2">
      <c r="C13" t="str">
        <f>LUBRIFIANTS!A13&amp;" - "&amp;LUBRIFIANTS!B13</f>
        <v>LUB_12 - FLUIDE HYDRO</v>
      </c>
    </row>
    <row r="14" spans="2:3" x14ac:dyDescent="0.2">
      <c r="C14" t="str">
        <f>LUBRIFIANTS!A14&amp;" - "&amp;LUBRIFIANTS!B14</f>
        <v>LUB_13 - HUILE SCHENCK</v>
      </c>
    </row>
    <row r="15" spans="2:3" x14ac:dyDescent="0.2">
      <c r="C15" t="str">
        <f>LUBRIFIANTS!A15&amp;" - "&amp;LUBRIFIANTS!B15</f>
        <v>LUB_14 - GRAISSE</v>
      </c>
    </row>
    <row r="16" spans="2:3" x14ac:dyDescent="0.2">
      <c r="C16" t="str">
        <f>LUBRIFIANTS!A16&amp;" - "&amp;LUBRIFIANTS!B16</f>
        <v>LUB_15 - GRAISSE</v>
      </c>
    </row>
    <row r="17" spans="3:3" x14ac:dyDescent="0.2">
      <c r="C17" t="str">
        <f>LUBRIFIANTS!A17&amp;" - "&amp;LUBRIFIANTS!B17</f>
        <v>LUB_16 - GRAISSE</v>
      </c>
    </row>
    <row r="18" spans="3:3" x14ac:dyDescent="0.2">
      <c r="C18" t="str">
        <f>LUBRIFIANTS!A18&amp;" - "&amp;LUBRIFIANTS!B18</f>
        <v>LUB_17 - GRAISSE</v>
      </c>
    </row>
    <row r="19" spans="3:3" x14ac:dyDescent="0.2">
      <c r="C19" t="str">
        <f>LUBRIFIANTS!A19&amp;" - "&amp;LUBRIFIANTS!B19</f>
        <v>LUB_18 - GRAISSE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MENU_GMAO</vt:lpstr>
      <vt:lpstr>FORM_LUBRIFICATION</vt:lpstr>
      <vt:lpstr>ALERTES</vt:lpstr>
      <vt:lpstr>EQUIPEMENT</vt:lpstr>
      <vt:lpstr>LUBRIFIANTS</vt:lpstr>
      <vt:lpstr>MOUVEMENTS_STOCK</vt:lpstr>
      <vt:lpstr>PLAN_LUBRIFICATION</vt:lpstr>
      <vt:lpstr>HISTORIQUES</vt:lpstr>
      <vt:lpstr>RAPPORT_STOCK</vt:lpstr>
      <vt:lpstr>FORM_ENTREE_STOCK</vt:lpstr>
      <vt:lpstr>PARAMETRES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de Microsoft Office</dc:creator>
  <cp:lastModifiedBy>Utilisateur de Microsoft Office</cp:lastModifiedBy>
  <dcterms:created xsi:type="dcterms:W3CDTF">2026-06-19T17:50:49Z</dcterms:created>
  <dcterms:modified xsi:type="dcterms:W3CDTF">2026-08-04T12:55:44Z</dcterms:modified>
</cp:coreProperties>
</file>